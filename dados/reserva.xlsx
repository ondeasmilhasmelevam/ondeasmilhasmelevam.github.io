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TÕES" sheetId="1" r:id="rId5"/>
    <sheet state="visible" name="Histórico de Alterações" sheetId="2" r:id="rId6"/>
  </sheets>
  <definedNames>
    <definedName hidden="1" localSheetId="0" name="_xlnm._FilterDatabase">'CARTÕES'!$A$1:$AC$53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
      <text>
        <t xml:space="preserve">Com desconto!</t>
      </text>
    </comment>
    <comment authorId="0" ref="X2">
      <text>
        <t xml:space="preserve">300.000 pontos Welcome</t>
      </text>
    </comment>
  </commentList>
</comments>
</file>

<file path=xl/sharedStrings.xml><?xml version="1.0" encoding="utf-8"?>
<sst xmlns="http://schemas.openxmlformats.org/spreadsheetml/2006/main" count="524" uniqueCount="228">
  <si>
    <t>Data Detectada</t>
  </si>
  <si>
    <t>BANCO 53 cartões</t>
  </si>
  <si>
    <t>Data da Mudança</t>
  </si>
  <si>
    <t>Cartão / Mudança Detectada</t>
  </si>
  <si>
    <t>Origem</t>
  </si>
  <si>
    <t>03/08/2026</t>
  </si>
  <si>
    <t>Não especificado</t>
  </si>
  <si>
    <t>Revolut Ultra: O câmbio com spread zero no plano Revolut Ultra não é ilimitado, mas sim restrito ao teto de R$ 20.000/mês (havendo cobrança de 1,4% de spread sobre o montante excedente).</t>
  </si>
  <si>
    <t>Monitoramento AssistenteVMM</t>
  </si>
  <si>
    <t>PROGRAMA FIDELIDADE</t>
  </si>
  <si>
    <t>Meados de 2026 (data exata não especificada)</t>
  </si>
  <si>
    <t>BRB DUX: passou por alterações drásticas em meados de 2026: a anuidade aumentou de R$ 1.680 para R$ 4.800; a meta de gastos para isenção total da anuidade subiu de R$ 35.000 para R$ 50.000/mês (e 50% de isenção para gastos entre R$ 25.000 e R$ 49.999); e a liberação dos acessos às salas VIP passou a exigir um gasto mínimo mensal unificado de R$ 10.000 na fatura.</t>
  </si>
  <si>
    <t>BANDEIRA</t>
  </si>
  <si>
    <t>Julho/2026 (isenção); 2025 (fim do Priority Pass no Visa Infinite)</t>
  </si>
  <si>
    <t>TIPO DE 
CARTÃO</t>
  </si>
  <si>
    <t>Porto Bank: a regra para isenção de anuidade por investimentos nos cartões Mastercard Black e Visa Infinite foi alterada em julho de 2026, subindo de R$ 100 mil para R$ 200 mil investidos (anuidade reajustada em 2026 para R$ 1.068/ano ou 12x R$ 89, mantendo isenção por R$ 10 mil em gastos mensais). Priority Pass: a variante Mastercard Black sempre usou LoungeKey; o Priority Pass era oferecido no Visa Infinite e teve a parceria encerrada totalmente em 2025 (não só para novos clientes ou na variante Black).</t>
  </si>
  <si>
    <t>Julho/2026</t>
  </si>
  <si>
    <t>ACELERADOR / PROMOÇÕES</t>
  </si>
  <si>
    <t>Santander Unique: (1) desde julho de 2026, os 2 acessos gratuitos anuais a salas VIP exigem gasto acumulado mínimo de R$ 15.000 nas últimas 3 faturas (média R$ 5.000/mês); (2) pontuação máxima do Santander Rewards é até 4,5 pts/dólar em compras internacionais (3,3 em nacionais), não 5,1; (3) R$ 8.000/mês concede só 50% de desconto na anuidade, isenção 100% exige R$ 8.000/mês E ser correntista com pacote ativo (ou R$ 50.000+ investidos).</t>
  </si>
  <si>
    <t>01/07/2026</t>
  </si>
  <si>
    <t>Santander Unlimited: a partir de 1º de julho de 2026, o acesso gratuito a salas VIP passou a exigir gasto acumulado mínimo de R$ 30.000 nas últimas 3 faturas fechadas (média R$ 10.000/mês), não mais R$ 1.000 na última fatura.</t>
  </si>
  <si>
    <t>RENDA MÍNIMA</t>
  </si>
  <si>
    <t>01/09/2026</t>
  </si>
  <si>
    <t>17/07/2026</t>
  </si>
  <si>
    <t>BRB DUX: Aumento da anuidade para R$ 4.800 por ano e elevação da exigência de gastos mensais para isenção de 100% da anuidade de R$ 35.000 para R$ 50.000.</t>
  </si>
  <si>
    <t>MENSAL</t>
  </si>
  <si>
    <t>Santander Unique: Passou a ser exigido um gasto acumulado mínimo de R$ 15.000 nas últimas 3 faturas do cartão para liberar o acesso gratuito às salas VIP, incluindo os acessos via LoungeKey, Visa Airport Companion e a Sala Mastercard Black do Aeroporto de Guarulhos.</t>
  </si>
  <si>
    <t>ANUIDADE</t>
  </si>
  <si>
    <t>PONTUA POR</t>
  </si>
  <si>
    <t>Santander Unlimited: A nossa base de conhecimento indica erroneamente a exigência de R$ 1.000 acumulados na última fatura para acesso gratuito às salas VIP. Na regra atualizada, o cartão Santander Unlimited exige o acúmulo mínimo de R$ 30.000 em gastos somados nas últimas três faturas fechadas, o que equivale a uma média de R$ 10.000 por mês.</t>
  </si>
  <si>
    <t>PONTUAÇÃO</t>
  </si>
  <si>
    <t>OBS</t>
  </si>
  <si>
    <t>QUANTOS PONTOS POR ANO</t>
  </si>
  <si>
    <t>TRANSFERÊNCIA PARA</t>
  </si>
  <si>
    <t>BÔNUS</t>
  </si>
  <si>
    <t>VALOR EM MILHAS</t>
  </si>
  <si>
    <t>MILHAS - ANUIDADE e TAXAS</t>
  </si>
  <si>
    <t>Tarifas Extras</t>
  </si>
  <si>
    <r>
      <rPr>
        <rFont val="Arial"/>
        <b/>
        <color rgb="FFFFFFFF"/>
        <sz val="14.0"/>
      </rPr>
      <t xml:space="preserve">Bradesco 
</t>
    </r>
    <r>
      <rPr>
        <rFont val="Arial"/>
        <b val="0"/>
        <color rgb="FFFFFFFF"/>
        <sz val="12.0"/>
      </rPr>
      <t>The Centurion Card</t>
    </r>
  </si>
  <si>
    <t>Livelo e Membership Rewards®</t>
  </si>
  <si>
    <t>Amex</t>
  </si>
  <si>
    <t>Black</t>
  </si>
  <si>
    <t>-</t>
  </si>
  <si>
    <t>Mediante convite (R$200mil)</t>
  </si>
  <si>
    <t>Dólar</t>
  </si>
  <si>
    <t>✔️ 300 mil pontos bônus creditado no Membership Rewards como Pontos Centurion mediante desbloqueio, primeiro uso do cartão e pagamento da primeira parcela da anuidade
✔️ 4 adicionais gratuitos
✔️ Acessos ilimitados gratuitos ao Bradesco Cartões Lounge e às salas VIP Priority Pass com até 12 convidados por visita, além do acesso ilimitado aos lounges American Express® com área exclusiva para clientes Centurion
 ✔️ Centurion Lounge: acesso ilimitado para o titular do cartão com acesso a área exclusiva para clientes Centurion + 2 acompanhantes por cada visita
✔️ Delta Sky Club: acesso ilimitado para o titular do cartão.
✔️ Compras internacionais – 5 pontos a cada dólar gasto 
✔️ Compras categorizadas – 7 pontos a cada dólar gasto em estabelecimentos classificados como cias aéreas, hotéis, locação de veículos e agência de viagens
✔️ Anuidade: R$ 25 mil em 12x ou R$ 18 mil para correntistas do Bradesco</t>
  </si>
  <si>
    <t>Iberia</t>
  </si>
  <si>
    <r>
      <rPr>
        <rFont val="Arial"/>
        <b/>
        <color rgb="FF000000"/>
        <sz val="14.0"/>
      </rPr>
      <t xml:space="preserve">Revolut
</t>
    </r>
    <r>
      <rPr>
        <rFont val="Arial"/>
        <b val="0"/>
        <color rgb="FF000000"/>
        <sz val="12.0"/>
      </rPr>
      <t>Ultra</t>
    </r>
  </si>
  <si>
    <t>RevPoints</t>
  </si>
  <si>
    <t>Visa</t>
  </si>
  <si>
    <t>Infinite 
Platina</t>
  </si>
  <si>
    <t>Não exigida (Assinatura de plano)</t>
  </si>
  <si>
    <t>✔️ Cartão banhado a platina, foco em viajantes e conta global multimoedas.
✔️ Pontua 3 pontos por dólar no crédito e 1,5 ponto por dólar no débito.
✔️ Isenção da mensalidade do plano Ultra gastando 30.000 por mês no cartão.
✔️ O RevPoints transfere para companhias globais como Iberia, British Airways, Qatar, TAP, Flying Blue, além de Latam Pass e Smiles.
✔️ Acesso às salas VIP:
• Dragon Pass (Visa Airport Companion): Acesso ilimitado para o titular.
⚠️ MUDANÇA 2026: o câmbio com spread zero não é ilimitado, vale até R$ 20.000 por mês no plano Ultra. Acima disso, cobra 1,4% de spread sobre o excedente. Conta rende até 120% do CDI.
✔️ Inclui pacote de assinaturas gratuitas de parceiros e seguro de cancelamento de viagens e eventos.</t>
  </si>
  <si>
    <r>
      <rPr>
        <rFont val="Arial"/>
        <b/>
        <color rgb="FFFFFFFF"/>
        <sz val="14.0"/>
      </rPr>
      <t xml:space="preserve">Santander 
</t>
    </r>
    <r>
      <rPr>
        <rFont val="Arial"/>
        <b val="0"/>
        <color rgb="FFFFFFFF"/>
        <sz val="12.0"/>
      </rPr>
      <t>AAdvantage®</t>
    </r>
  </si>
  <si>
    <t>AAdvantage® da American Airlines</t>
  </si>
  <si>
    <t>Mastercard</t>
  </si>
  <si>
    <t>R$ 12.500,00 ou ser cliente Select/Private</t>
  </si>
  <si>
    <r>
      <rPr>
        <color rgb="FF434343"/>
        <sz val="12.0"/>
      </rPr>
      <t xml:space="preserve">✔️Ganha 2 milhas AAdvantage a cada dólar gasto
✔️ Pontua em um dos melhores programas de fidelidade de companhia aérea do mundo
✔️ Cartão </t>
    </r>
    <r>
      <rPr>
        <b/>
        <color rgb="FF434343"/>
        <sz val="12.0"/>
      </rPr>
      <t>NÃO</t>
    </r>
    <r>
      <rPr>
        <color rgb="FF434343"/>
        <sz val="12.0"/>
      </rPr>
      <t xml:space="preserve"> participa mais das promoções Bateu Ganhou do Santander
✔️ As milhas AAdvantage® nunca expiram enquanto seu cartão estiver ativo²
✔️ 50% de desconto de anuidade para correntistas com investimentos³ superiores a R$ 150 mil.
✔️ 4 acessos gratuitos por ano às salas VIP LoungeKey
✔️ Até 5 cartões adicionais sem anuidade
✔️ Além de acumular milhas utilizando o cartão, você também ganha Loyalty Points para conquistar status no programa AAdvantage® e aproveitar mais benefícios -</t>
    </r>
    <r>
      <rPr>
        <color rgb="FF434343"/>
        <sz val="12.0"/>
      </rPr>
      <t xml:space="preserve"> </t>
    </r>
    <r>
      <rPr>
        <color rgb="FF1155CC"/>
        <sz val="12.0"/>
        <u/>
      </rPr>
      <t>https://exploreamerican.com/newaadvantage/br/</t>
    </r>
    <r>
      <rPr>
        <color rgb="FF434343"/>
        <sz val="12.0"/>
      </rPr>
      <t xml:space="preserve"> </t>
    </r>
  </si>
  <si>
    <t>AA</t>
  </si>
  <si>
    <r>
      <rPr>
        <rFont val="Arial"/>
        <b/>
        <color rgb="FFFFFFFF"/>
        <sz val="14.0"/>
      </rPr>
      <t xml:space="preserve">Caixa
</t>
    </r>
    <r>
      <rPr>
        <rFont val="Arial"/>
        <b val="0"/>
        <color rgb="FFFFFFFF"/>
        <sz val="12.0"/>
      </rPr>
      <t>Ícone</t>
    </r>
  </si>
  <si>
    <t>Uau Caixa</t>
  </si>
  <si>
    <t>Infinite</t>
  </si>
  <si>
    <t>R$ 100.000 de limite no banco</t>
  </si>
  <si>
    <t>✔️ Cartão de metal lançado com foco no público de alta renda.
✔️ 5 pontos por dólar em compras nacionais e 6 pontos em compras internacionais.
✔️ IOF zero em compras internacionais até janeiro de 2027.
✔️ Isenção total da anuidade com faturas a partir de 25.000. Faturas a partir de 12.500 garantem 50% de desconto. Clientes Private têm isenção total.
✔️ Acesso às salas VIP:
– Dragon Pass (Visa Airport Companion) e LoungeKey: Acessos ilimitados para o titular e adicionais.
– Direito a impressionantes 20 convidados por ano (10 no Dragon Pass + 10 no LoungeKey).
✔️ Permite até 5 cartões adicionais gratuitos.
✔️ Transferência de pontos na proporção 1:1 para Latam Pass, Smiles e Azul, e 2:1 para TAP.</t>
  </si>
  <si>
    <t>LATAM</t>
  </si>
  <si>
    <r>
      <rPr>
        <rFont val="Arial"/>
        <b/>
        <color rgb="FFFFFFFF"/>
        <sz val="14.0"/>
      </rPr>
      <t xml:space="preserve">C6 Bank
</t>
    </r>
    <r>
      <rPr>
        <rFont val="Arial"/>
        <b val="0"/>
        <color rgb="FFFFFFFF"/>
        <sz val="10.0"/>
      </rPr>
      <t>Graphene World Legend</t>
    </r>
  </si>
  <si>
    <r>
      <rPr>
        <color rgb="FF1155CC"/>
        <sz val="10.0"/>
        <u/>
      </rPr>
      <t>Átomos</t>
    </r>
    <r>
      <rPr>
        <color rgb="FF000000"/>
        <sz val="10.0"/>
        <u/>
      </rPr>
      <t xml:space="preserve"> e Livelo</t>
    </r>
  </si>
  <si>
    <t>Graphene World Legend</t>
  </si>
  <si>
    <t>5 milhões investidos</t>
  </si>
  <si>
    <r>
      <rPr>
        <rFont val="Arial"/>
        <color rgb="FF434343"/>
        <sz val="12.0"/>
      </rPr>
      <t xml:space="preserve">✔️ Lançado no final de 2025, o World Legend é a categoria máxima da Mastercard (acima do Black), voltada para a altíssima renda.
✔️ Cartão físico produzido em metal com design minimalista.
✔️ 4,5 pontos por dólar gasto no crédito (os pontos não expiram).
✔️ </t>
    </r>
    <r>
      <rPr>
        <rFont val="Arial"/>
        <b/>
        <color rgb="FF434343"/>
        <sz val="12.0"/>
      </rPr>
      <t>Isenção total da anuidade para quem mantém os 5 milhões investidos</t>
    </r>
    <r>
      <rPr>
        <rFont val="Arial"/>
        <color rgb="FF434343"/>
        <sz val="12.0"/>
      </rPr>
      <t xml:space="preserve"> exigidos pelo segmento Graphene. Anuidade de R$ 3.960,00.
✔️ Acesso ilimitado e gratuito a salas VIP pelo LoungeKey.
✔️ Acesso à nova e exclusiva sala "Taste of Priceless" no Aeroporto de Guarulhos, restrita a clientes World Legend (com menu assinado por chefs premiados).
✔️ Benefício “anytime check-in e check-out” em hotéis de luxo selecionados no Brasil e no exterior.
✔️ (Atenção: Outros bancos como Itaú, Banco do Brasil, Sisprime e BTG também emitem ou estão lançando suas versões do World Legend).</t>
    </r>
  </si>
  <si>
    <t>TAP</t>
  </si>
  <si>
    <r>
      <rPr>
        <rFont val="Arial"/>
        <b/>
        <color rgb="FF000000"/>
        <sz val="14.0"/>
      </rPr>
      <t xml:space="preserve">Banco do Brasil 
</t>
    </r>
    <r>
      <rPr>
        <rFont val="Arial"/>
        <b val="0"/>
        <color rgb="FF000000"/>
        <sz val="12.0"/>
      </rPr>
      <t>Altus</t>
    </r>
  </si>
  <si>
    <t>Livelo</t>
  </si>
  <si>
    <t>?</t>
  </si>
  <si>
    <r>
      <rPr>
        <color rgb="FF434343"/>
        <sz val="12.0"/>
      </rPr>
      <t xml:space="preserve">✔️ Promoção prorrogada até 30/09/2026: Faturas acima de 40.000 ganham 5 pontos por dólar. Faturas entre 25.000 e 40.000 ganham 4,5 pontos. Faturas abaixo de 25.000 ganham 4 pontos. </t>
    </r>
    <r>
      <rPr>
        <color rgb="FF1155CC"/>
        <sz val="12.0"/>
        <u/>
      </rPr>
      <t>https://www.bb.com.br/site/private/cartoes/altus/#/</t>
    </r>
    <r>
      <rPr>
        <color rgb="FF434343"/>
        <sz val="12.0"/>
      </rPr>
      <t xml:space="preserve"> 
✔️Faturas com valor acima de R$ 25 mil você isenta a anuidade
✔️8 cartões adicionais sem custo
✔️Pontos na Livelo não expiram
✔️ Acesso às salas VIP:
– LoungeKey: acessos gratuitos e ilimitados ao portador e convidados
– Dragon Pass: acessos gratuitos e ilimitados ao portador e convidados</t>
    </r>
  </si>
  <si>
    <r>
      <rPr>
        <rFont val="Arial"/>
        <b/>
        <color rgb="FFFFFFFF"/>
        <sz val="14.0"/>
      </rPr>
      <t xml:space="preserve">XP </t>
    </r>
    <r>
      <rPr>
        <rFont val="Arial"/>
        <b/>
        <color rgb="FFFFFFFF"/>
        <sz val="12.0"/>
      </rPr>
      <t xml:space="preserve">Investimentos
</t>
    </r>
    <r>
      <rPr>
        <rFont val="Arial"/>
        <b val="0"/>
        <color rgb="FFFFFFFF"/>
        <sz val="12.0"/>
      </rPr>
      <t>Privilege</t>
    </r>
  </si>
  <si>
    <t>Investback ou Pontos</t>
  </si>
  <si>
    <t>Infinite Privilege</t>
  </si>
  <si>
    <t>30 milhões investidos</t>
  </si>
  <si>
    <t>Investback ou Dólar</t>
  </si>
  <si>
    <t>✔️ Lançado em meados de 2025, o Infinite Privilege é a categoria super-premium da Visa (acima do Infinite), focada no luxo silencioso para clientes com altíssimo patrimônio.
✔️ Emitido exclusivamente por convite para investidores com patrimônio superior a 30 milhões na corretora. O cartão não possui cobrança de anuidade.
✔️ O cliente pode escolher entre acumular até 4,5 pontos por dólar gasto ou receber até 2,5% de Investback em todas as compras no crédito.
✔️ Acessos VIP ilimitados via Dragon Pass (Visa Airport Companion) com direito a até 8 convidados gratuitos por visita.
✔️ Acesso à nova e exclusiva sala "Visa Infinite Privilege Lounge" no Terminal 3 do Aeroporto de Guarulhos (mediante agendamento).
✔️ Inclui 1 transporte de helicóptero gratuito por ano até o Aeroporto de Guarulhos e Fast Pass exclusivo na segurança aeroportuária.
✔️ Lifestyle Manager: um concierge hiper personalizado e dedicado 24h.
✔️ Nota: Itaú e Porto Bank também emitem o Visa Infinite Privilege no Brasil (o do Itaú, por exemplo, tem versão que cobra anuidade de 15.000,00 para quem não atinge a isenção, com até 8 pontos por dólar).</t>
  </si>
  <si>
    <r>
      <rPr>
        <rFont val="Arial"/>
        <b/>
        <color rgb="FF000000"/>
        <sz val="14.0"/>
      </rPr>
      <t xml:space="preserve">Revolut
</t>
    </r>
    <r>
      <rPr>
        <rFont val="Arial"/>
        <b val="0"/>
        <color rgb="FF000000"/>
        <sz val="12.0"/>
      </rPr>
      <t>Metal</t>
    </r>
  </si>
  <si>
    <t>✔️ Cartão produzido em metal, foco em viajantes e conta global multimoedas.
✔️ Pontua 2,5 pontos por dólar no crédito e 1 ponto por dólar no débito.
✔️ Isenção da mensalidade do plano Metal gastando 8.000 por mês no cartão.
✔️ O RevPoints transfere para companhias globais como Iberia, British Airways, Qatar, TAP, Flying Blue, além de Latam Pass e Smiles.
✔️ Acesso às salas VIP:
– Dragon Pass (Visa Airport Companion): Acessos de acordo com os benefícios padrão da bandeira Visa Infinite.
✔️ Conta global integrada com conversão de mais de 30 moedas a taxa comercial sem spread bancário (limite de 10.000 por mês no plano Metal) e conta rendendo até 120% do CDI.
✔️ Inclui saques gratuitos no exterior (até 800 euros ou equivalente por mês) e seguro de viagem internacional.</t>
  </si>
  <si>
    <r>
      <rPr>
        <rFont val="Arial"/>
        <b/>
        <color rgb="FFFFFFFF"/>
        <sz val="14.0"/>
      </rPr>
      <t xml:space="preserve">Sicoob
</t>
    </r>
    <r>
      <rPr>
        <rFont val="Arial"/>
        <b val="0"/>
        <color rgb="FFFFFFFF"/>
        <sz val="12.0"/>
      </rPr>
      <t>Zenith</t>
    </r>
  </si>
  <si>
    <t>Coopera</t>
  </si>
  <si>
    <t>50.000 ou 500 mil investidos</t>
  </si>
  <si>
    <t>✔️ O novo cartão Ultra Premium do Sicoob, lançado para substituir o Merit no topo da cadeia.
✔️ Acumula altíssimos 4 pontos por dólar (nacional e internacional) que podem ser enviados para a Livelo na proporção 1:1 sem deságio.
✔️ Mantém a tradição do Spread Zero em compras internacionais (cobrando a cotação PTAX sem spread bancário).
✔️ Isenção de anuidade pesada: 50% de desconto gastando a partir de 18.000 mensais e 100% de isenção gastando 26.000 mensais.
✔️ Acessos VIP Ilimitados pelo LoungeKey com direito a 2 convidados gratuitos por visita.
✔️ Exigência para convite: Faturamento/Renda de 50 mil ou investimentos a partir de 500 mil na cooperativa. Diferente de outros bancos, os cartões adicionais pagam 50% da anuidade (895,00) e também isentam com base na meta de gastos do titular.</t>
  </si>
  <si>
    <t>Porto Seguro</t>
  </si>
  <si>
    <t>PortoPlus</t>
  </si>
  <si>
    <t>Visa / Master</t>
  </si>
  <si>
    <t>Infinite / Black</t>
  </si>
  <si>
    <t>✔️ 2,5 pontos a cada dólar gasto em compras nacionais e internacionais; 3,5 pontos a cada dólar gasto para gasto na fatura maior que R$ 20.000,00 em compras nacionais e internacionais. https://www.portoseguro.com.br/cartao-de-credito/regulamento-porto-plus 
✔️ O cliente titular de cartões de crédito Porto Seguro Bank de duas bandeiras ativas (Visa e Mastercard) e com pelo menos uma transação no mês vigente em ambos os cartões, receberá a seguinte atribuição de pontos em regime de bonificação: Infinite e Black. Gastos acima de R$ 20.000,00: 3,5 ponto a cada dólar gasto.
✔️ Devolução em forma de cashback na fatura, o valor do IOF referente às compras internacionais.
✔️ Isenção de Anuidade: maior ou igual a R$ 10.000,00 por mês em gastos, ou a partir de R$ 200 mil em fundos no produto Investimentos Porto Bank (valor atualizado em 2026, antes eram R$ 100 mil).
✔️ Até 3 cartões adicionais sem anuidade.
⚠️ CORREÇÃO 2026: o Priority Pass nunca foi benefício da variante Mastercard Black, que sempre usou LoungeKey (10 acessos). Era exclusivo do Visa Infinite, que usava Dragon Pass, e essa parceria com o Priority Pass acabou de vez em 2025.
✔️ Transfere para Azul, Smiles, LATAM Pass e TAP</t>
  </si>
  <si>
    <r>
      <rPr>
        <rFont val="Arial"/>
        <b/>
        <color rgb="FFFFFFFF"/>
        <sz val="14.0"/>
      </rPr>
      <t xml:space="preserve">Bradesco 
</t>
    </r>
    <r>
      <rPr>
        <rFont val="Arial"/>
        <b val="0"/>
        <color rgb="FFFFFFFF"/>
        <sz val="12.0"/>
      </rPr>
      <t>Aeternum</t>
    </r>
  </si>
  <si>
    <t>✔️ 4,0 pontos Livelo por dólar gasto (pontos não expiram).
✔️ Exclusivo para clientes Private Bank ou convidados com limite acima de 100.000. Isenção apenas com 5 milhões investidos.
⚠️ MUDANÇA 2026: A partir de 20 de março de 2026, o cartão encerrou os acessos gratuitos pelo programa LoungeKey.
✔️ Salas VIP ativas: Visa Airport Companion (Dragon Pass) ilimitado com 12 convidados por ano + Salas próprias do Bradesco.</t>
  </si>
  <si>
    <r>
      <rPr>
        <rFont val="Arial"/>
        <b/>
        <color rgb="FFFFFFFF"/>
        <sz val="14.0"/>
      </rPr>
      <t>ITAÚ</t>
    </r>
    <r>
      <rPr>
        <rFont val="Arial"/>
        <b/>
        <color rgb="FFFFFFFF"/>
        <sz val="12.0"/>
      </rPr>
      <t xml:space="preserve">
</t>
    </r>
    <r>
      <rPr>
        <rFont val="Arial"/>
        <b val="0"/>
        <color rgb="FFFFFFFF"/>
        <sz val="12.0"/>
      </rPr>
      <t>THE ONE</t>
    </r>
  </si>
  <si>
    <t>Itaú Shop</t>
  </si>
  <si>
    <t>✔️ Cartão de metal.
✔️ Compras nacionais e internacionais – 4 pontos a cada dólar gasto em caráter definitivo para o segmento Private. (Para o segmento Personnalité: 3 pontos nacional e 3,5 pontos internacional).
✔️ Pontos não expiram.
✔️ Acesso às salas VIP:
– LoungeKey: acessos gratuitos e ilimitados ao portador + 20 convidados por ano
– Sala VIP Mastercard Black Airport Lounge (GRU): acessos gratuitos e ilimitados ao portador
– The Club by Mastercard: acessos gratuitos e ilimitados ao portador + 1 acompanhante
✔️ Isenção de anuidade a partir de 5 milhões investidos no Personnalité ou mantendo 60.000 em compras por fatura ou conquistando o nível 5 no Minhas Vantagens do Itaú Personnalité.
✔️ The Assistant: assistente pessoal com atendimento dedicado 24h para o cartão The One. Acesso prioritário em restaurantes premiados, hotéis e eventos culturais.</t>
  </si>
  <si>
    <t xml:space="preserve"> Nomad Explorer</t>
  </si>
  <si>
    <t>Nomad Pass</t>
  </si>
  <si>
    <t>Sem investimento mínimo exigido (aprovação pode ser mais difícil hoje em dia)</t>
  </si>
  <si>
    <t>✔️ Até 3 pontos por dólar gasto em compras, por faixa de GASTO MENSAL na fatura (não por investimento na Nomad): até R$ 3.499,99 = 1,6 pontos por dólar; de R$ 3.500,00 a R$ 4.499,99 = 2,2 pontos por dólar; a partir de R$ 4.500,00 = 3 pontos por dólar.
✔️ Os pontos acumulados não expiram. Tanto compras nacionais como internacionais contabilizam pontos.
✔️ Nomad Lounge (sala própria, Terminal 3 de Guarulhos): acesso gratuito e ilimitado pro titular, sem gasto mínimo, só apresentando o cartão. Direito a até 2 dependentes de até 17 anos; acompanhante adulto sem custo depende do nível no programa Nomad Pass.
⚠️ MUDANÇA 2026: os acessos via Dragon Pass / Visa Airport Companion a outras salas VIP (fora o Nomad Lounge) passaram a exigir gasto médio mensal: R$ 3.500 dá direito a 2 acessos anuais gratuitos, R$ 4.500 dá direito a 4 acessos anuais gratuitos. Antes era liberado sem meta nenhuma.
✔️ Troca de pontos por cashback em dólar direto na conta Nomad.
✔️ Transferência de pontos para parceiros: Livelo (1 para 1, sem bônus), Azul Fidelidade e Smiles.
✔️ Troca de pontos por desconto na compra do dólar (taxa operacional de câmbio zerada).</t>
  </si>
  <si>
    <t>Sicredi</t>
  </si>
  <si>
    <t>Shopping do Sicredi</t>
  </si>
  <si>
    <t>✔️Compras nacionais – 3 pontos a cada dólar gasto. Compras internacionais – 3 pontos a cada dólar gasto
✔️ Pontos não expiram
✔️ Política de isenção da anuidade: Varia de acordo com a política de cada cooperativa, portanto, ela deve ser consultada junto ao gerente da conta. Isenção de 100% a partir de R$ 25.000 em gastos e de 50% para gastos a partir de R$ 17.000. Ainda, cada unidade poderá definir uma politica de isenção de acordo com o relacionamento;
✔️Acesso às salas VIP:
– LoungeKey: acessos gratuitos e ilimitados ao portador e convidados;
– Visa Airport Companion: acessos gratuitos e ilimitados ao portador e convidados</t>
  </si>
  <si>
    <r>
      <rPr>
        <rFont val="Arial"/>
        <b/>
        <color rgb="FFFFFFFF"/>
        <sz val="14.0"/>
      </rPr>
      <t xml:space="preserve">BRB
</t>
    </r>
    <r>
      <rPr>
        <rFont val="Arial"/>
        <b val="0"/>
        <color rgb="FFFFFFFF"/>
        <sz val="12.0"/>
      </rPr>
      <t>DUX</t>
    </r>
  </si>
  <si>
    <t>Curtaí</t>
  </si>
  <si>
    <t>✔️ 5 pontos em compras nacionais e 7 pontos em internacionais. Os pontos não expiram.
⚠️ MUDANÇA 2026: acesso às salas VIP agora exige R$ 10.000 por mês de gasto na fatura (antes era ilimitado sem meta).
⚠️ MUDANÇA 2026: O BRB implementou uma validação de segurança nas salas VIP. Ao entrar, é feita uma cobrança caução de 35 dólares, que é estornada automaticamente na fatura dias depois.
⚠️ MUDANÇA 2026: anuidade subiu de R$ 1.680 para R$ 4.800. Meta pra isenção total também subiu, agora R$ 50.000 por mês (antes R$ 35.000), com 50% de isenção pra quem gasta entre R$ 25.000 e R$ 49.999.
✔️ Novidade: O banco lançou a variante "DUX Adega", focada em benefícios gastronômicos e de lifestyle premium.
⚠️ MUDANÇA 01/09/2026: Aumento da anuidade para R$ 4.800 por ano e elevação da exigência de gastos mensais para isenção de 100% da anuidade de R$ 35.000 para R$ 50.000.</t>
  </si>
  <si>
    <r>
      <rPr>
        <rFont val="Arial"/>
        <b/>
        <color rgb="FFFFFFFF"/>
        <sz val="14.0"/>
      </rPr>
      <t xml:space="preserve">Santander 
</t>
    </r>
    <r>
      <rPr>
        <rFont val="Arial"/>
        <b val="0"/>
        <color rgb="FFFFFFFF"/>
        <sz val="12.0"/>
      </rPr>
      <t>Unlimited</t>
    </r>
  </si>
  <si>
    <t>Esfera</t>
  </si>
  <si>
    <t>Visa e Mastercard</t>
  </si>
  <si>
    <t>a partir de 
R$ 30.000,00 e ser Cliente Private</t>
  </si>
  <si>
    <t>✔️ Até 7 cartões adicionais sem anuidade.
✔️ Acumulando no cartão a partir de 30.000 na função crédito a cada fatura, você fica livre da anuidade.
⚠️ MUDANÇA 2026: para acessar as salas VIP gratuitamente, agora é exigido R$ 30.000 acumulados nas últimas 3 faturas fechadas (média de R$ 10.000 por mês). Antes bastava R$ 1.000 na última fatura.
✔️ Acesso às salas VIP: LoungeKey ou Visa Airport Companion ilimitados + 8 convidados por ano.
⚠️ MUDANÇA 01/09/2026: A nossa base de conhecimento indica erroneamente a exigência de R$ 1.000 acumulados na última fatura para acesso gratuito às salas VIP. Na regra atualizada, o cartão Santander Unlimited exige o acúmulo mínimo de R$ 30.000 em gastos somados nas últimas três faturas fechadas, o que equivale a uma média de R$ 10.000 por mês.</t>
  </si>
  <si>
    <t>Unicred Ímpar</t>
  </si>
  <si>
    <t>Único Programa de Recompensas</t>
  </si>
  <si>
    <t>✔️ Nova regra de pontuação atualizada: Agora pontua de forma fixa 3,5 pontos por dólar em compras nacionais e incríveis 4,5 pontos em compras internacionais (independente do valor da fatura).
✔️ Política de isenção da anuidade: 50% de desconto para gastos acima de 25.000 e 100% de desconto para faturas acima de 40.000 ou 3 milhões em investimentos.
✔️ Acesso às salas VIP: LoungeKey e Visa Airport Companion (Dragon Pass) com acessos gratuitos e ilimitados ao portador e 1 acompanhante por visita.
✔️ Vantagem fortíssima: A Unicred possui Spread Zero em compras internacionais, cobrando a cotação comercial (PTAX), o que faz a pontuação de 4,5 no exterior ser uma das mais lucrativas do mercado.</t>
  </si>
  <si>
    <t>Banescard</t>
  </si>
  <si>
    <t>Programa de Fidelidade Banescard</t>
  </si>
  <si>
    <t>✔️ Isenção de anuidade se gastar a partir de R$ 12 mil por mês no crédito ou investir a partir de R$ 150 mil no Banestes em Fundos de Investimento, Poupança, LCI, LCA, CDBs, RDBs.
✔️ Acesso às salas VIP:
– Loungekey: 2 acessos gratuitos por ano</t>
  </si>
  <si>
    <t>C6 Bank</t>
  </si>
  <si>
    <r>
      <rPr>
        <color rgb="FF1155CC"/>
        <sz val="10.0"/>
        <u/>
      </rPr>
      <t>Átomos</t>
    </r>
    <r>
      <rPr>
        <color rgb="FF000000"/>
        <sz val="10.0"/>
        <u/>
      </rPr>
      <t xml:space="preserve"> e Livelo</t>
    </r>
  </si>
  <si>
    <t>Carbon</t>
  </si>
  <si>
    <r>
      <rPr>
        <rFont val="Arial"/>
        <color rgb="FF434343"/>
        <sz val="12.0"/>
      </rPr>
      <t xml:space="preserve">✔️Isenção de anuidade nos 3 primeiros meses e para gasto a partir de R$8.000/mês ou ainda quem investe a partir de R$ 50 mil em LCA, LCI, LF, Compromissadas ou CDBs do C6 Bank pelo app
✔️ Pontua 2,7 pontos por dólar gasto quem paga a partir de R$ 4.000/mês de contas na conta C6 ou ter entre R$ 250 mil e R$ 500 mil investidos
⚠️ Atenção: O C6 Bank possui hoje um dos spreads mais caros do mercado para compras internacionais no cartão de crédito (cerca de 5,25%), o que ofusca o acúmulo de pontos no exterior. 
⚠️ A partir de 01/04/2026, o acesso aos lounges VIP Mastercard Black em Guarulhos será gratuito para quem atingir a soma de R$ 15 mil gastos no crédito nas faturas dos 3 meses anteriores ao mês de acesso.
✔️ Transferência para Latam, Gol, Azul e TAP
✔️ Até 6 cartões adicionais gratuitos
✔️ Abertura de conta global em dólar e/ou euro sem custo
✔️ Pontos no Programa Átomos não expiram
✔️ 4 acessos gratuitos por ano a salas VIP Dragon Pass. Os 4 acessos são compartilhados entre o titular e cartões adicionais. 
✔️ Acesso ilimitado à sala VIP Mastercard® Black em Guarulhos
✔️ Até 4 tags de pedágio e estacionamento sem custo. Basta ter usado o C6 Carbon Mastercard Black no crédito ao menos uma vez no mês anterior.
✔️ Limite de crédito é proporcional à quantia investida no CDB do C6. Se você aplicar R$ 15 mil no CDB Cartão de Crédito, seu limite será expandido em R$ 15 mil. Se você resgatar R$ 5 mil, o limite cairá para R$ 10 mil
✔️ Se houver atraso no pagamento do cartão, o valor investido no CDB será utilizado para quitar a fatura
✔️ </t>
    </r>
    <r>
      <rPr>
        <rFont val="Arial"/>
        <b/>
        <color rgb="FF434343"/>
        <sz val="12.0"/>
      </rPr>
      <t xml:space="preserve">Quais pagamentos são aceitos na lista abaixo: </t>
    </r>
    <r>
      <rPr>
        <rFont val="Arial"/>
        <color rgb="FF434343"/>
        <sz val="12.0"/>
      </rPr>
      <t xml:space="preserve">
- Pagamento de concessionárias; 
- Débito automático (exceto fatura dos cartões C6 Bank); 
- Pagamentos para os setores:
- Educação (Escolas, creches, faculdades); 
- Plano de saúde / Seguros / Previdência; 
- Condomínio; 
- Clubes; 
- Telecomunicação. </t>
    </r>
  </si>
  <si>
    <r>
      <rPr>
        <color rgb="FF1155CC"/>
        <sz val="10.0"/>
        <u/>
      </rPr>
      <t>Átomos</t>
    </r>
    <r>
      <rPr>
        <color rgb="FF000000"/>
        <sz val="10.0"/>
        <u/>
      </rPr>
      <t xml:space="preserve"> e Livelo</t>
    </r>
  </si>
  <si>
    <r>
      <rPr>
        <rFont val="Arial"/>
        <color rgb="FF434343"/>
        <sz val="12.0"/>
      </rPr>
      <t xml:space="preserve">✔️ C6 Carbon 1.000 – 1.000 pontos por R$ 45/mês
✔️ C6 Carbon 5.000 – 5.000 pontos por R$ 200/mês
✔️ C6 Carbon </t>
    </r>
    <r>
      <rPr>
        <rFont val="Arial"/>
        <b/>
        <color rgb="FF434343"/>
        <sz val="12.0"/>
      </rPr>
      <t>10.000</t>
    </r>
    <r>
      <rPr>
        <rFont val="Arial"/>
        <color rgb="FF434343"/>
        <sz val="12.0"/>
      </rPr>
      <t xml:space="preserve"> – 10.000 pontos por </t>
    </r>
    <r>
      <rPr>
        <rFont val="Arial"/>
        <b/>
        <color rgb="FF434343"/>
        <sz val="12.0"/>
      </rPr>
      <t>R$ 350/mês</t>
    </r>
  </si>
  <si>
    <r>
      <rPr>
        <rFont val="Arial"/>
        <b/>
        <color rgb="FFFFFFFF"/>
        <sz val="14.0"/>
      </rPr>
      <t xml:space="preserve">Caixa
</t>
    </r>
    <r>
      <rPr>
        <rFont val="Arial"/>
        <b val="0"/>
        <color rgb="FFFFFFFF"/>
        <sz val="12.0"/>
      </rPr>
      <t>Elo Diners</t>
    </r>
  </si>
  <si>
    <t>Elo</t>
  </si>
  <si>
    <t>Nanquim</t>
  </si>
  <si>
    <t>✔️ Janeiro com transferências bonificadas de 165% (o bônus reflete a idade da Caixa, aumentando 1% ao ano). É necessário cumprir pré-requisitos nas companhias aéreas para atingir o bônus máximo.
✔️ Pontos que nunca expiram; 2,5 pontos para cada 1 dólar gasto em compras nacionais e 3,5 pontos em compras internacionais.
✔️ Valor da anuidade de volta em crédito da fatura gastando a partir de 10.000 por mês. Fatura de 5.000 tem 50% de desconto.
✔️ Salas VIP Priority Pass no Brasil e no exterior - 4 acessos gratuitos anuais.</t>
  </si>
  <si>
    <r>
      <rPr>
        <color rgb="FF1155CC"/>
        <sz val="10.0"/>
        <u/>
      </rPr>
      <t>Átomos</t>
    </r>
    <r>
      <rPr>
        <color rgb="FF000000"/>
        <sz val="10.0"/>
        <u/>
      </rPr>
      <t xml:space="preserve"> e Livelo</t>
    </r>
  </si>
  <si>
    <t>Platinum</t>
  </si>
  <si>
    <t>Real</t>
  </si>
  <si>
    <r>
      <rPr>
        <rFont val="Arial"/>
        <color rgb="FF434343"/>
        <sz val="12.0"/>
      </rPr>
      <t xml:space="preserve">✔️ R$ 1 gasto no crédito equivale a 0,05 ponto C6 Átomos. O cashback é de 0,08% e os pontos não expiram
✔️ </t>
    </r>
    <r>
      <rPr>
        <rFont val="Arial"/>
        <b/>
        <color rgb="FF434343"/>
        <sz val="12.0"/>
      </rPr>
      <t>Para acumular 0,40 ponto</t>
    </r>
    <r>
      <rPr>
        <rFont val="Arial"/>
        <color rgb="FF434343"/>
        <sz val="12.0"/>
      </rPr>
      <t xml:space="preserve"> a cada real gasto e seu cashback chegar a 0,7%, é necessário ter gastos a partir de R$ 3 mil/mês
✔️ Para acumular 0,45 pontos a cada real gasto e seu cashback chegar a 0,8%, é necessário ter gastos a partir de R$ 3 mil/mês no crédito e pagar contas elegíveis que totalizem no mês, no mínimo, R$ 1.500 pelo C6 Bank
✔️Transferência para Latam, Gol, Azul e TAP
✔️ </t>
    </r>
    <r>
      <rPr>
        <rFont val="Arial"/>
        <b/>
        <color rgb="FF434343"/>
        <sz val="12.0"/>
      </rPr>
      <t xml:space="preserve">Quais pagamentos são aceitos na lista abaixo: </t>
    </r>
    <r>
      <rPr>
        <rFont val="Arial"/>
        <color rgb="FF434343"/>
        <sz val="12.0"/>
      </rPr>
      <t xml:space="preserve">
- Pagamento de concessionárias; 
- Débito automático (exceto fatura dos cartões C6 Bank); 
- Pagamentos para os setores:
- Educação (Escolas, creches, faculdades); 
- Plano de saúde / Seguros / Previdência; 
- Condomínio; 
- Clubes; 
- Telecomunicação. </t>
    </r>
  </si>
  <si>
    <r>
      <rPr>
        <rFont val="Arial"/>
        <b/>
        <color rgb="FF000000"/>
        <sz val="14.0"/>
      </rPr>
      <t xml:space="preserve">Banco do Brasil 
</t>
    </r>
    <r>
      <rPr>
        <rFont val="Arial"/>
        <b val="0"/>
        <color rgb="FF000000"/>
        <sz val="12.0"/>
      </rPr>
      <t>Altus Liv</t>
    </r>
  </si>
  <si>
    <t>Cliente Estilo</t>
  </si>
  <si>
    <t>✔️ Nova variante focada no segmento Estilo Alta Renda (investidores abaixo de 10 milhões).
✔️ Escada de pontuação nacional: Faturas até 15.000 geram 3 pontos; de 15.000 a 25.000 geram 3,5 pontos; acima de 25.000 geram 4 pontos.
✔️ Compras internacionais geram 4 pontos fixos.
✔️ Isenção de anuidade com gastos mensais a partir de 25.000 ou mantendo 2 milhões investidos no BB.
✔️ Acessos VIP ilimitados no LoungeKey e Dragon Pass (Visa Airport Companion) para o titular e até 7 adicionais gratuitos.</t>
  </si>
  <si>
    <r>
      <rPr>
        <rFont val="Arial"/>
        <b/>
        <color rgb="FFFFFFFF"/>
        <sz val="14.0"/>
      </rPr>
      <t xml:space="preserve">Santander 
</t>
    </r>
    <r>
      <rPr>
        <rFont val="Arial"/>
        <b val="0"/>
        <color rgb="FFFFFFFF"/>
        <sz val="12.0"/>
      </rPr>
      <t>Unique</t>
    </r>
  </si>
  <si>
    <t>Com conta corrente: R$ 15.000,00 ou ser cliente Select</t>
  </si>
  <si>
    <t>✔️ Anuidade atualizada para 12x 96,25 (1155,00 ao ano).
✔️ Isenção total exige R$ 8.000 por mês de gasto E ser correntista com pacote ativo (ou R$ 50 mil+ investidos). Só o gasto de R$ 8.000 sozinho garante 50% de desconto.
⚠️ MUDANÇA 2026: para acessar as salas VIP gratuitamente, agora é exigido R$ 15.000 acumulados nas últimas 3 faturas fechadas (média de R$ 5.000 por mês). Antes bastava R$ 1.000 na última fatura.
✔️ 2 acessos gratuitos ao ano no Visa Airport Companion ou LoungeKey. Sala VIP Mastercard Black em Guarulhos ilimitada.
✔️ Pontuação máxima real: até 4,5 pontos por dólar em compras internacionais e 3,3 em nacionais.
⚠️ MUDANÇA 01/09/2026: Passou a ser exigido um gasto acumulado mínimo de R$ 15.000 nas últimas 3 faturas do cartão para liberar o acesso gratuito às salas VIP, incluindo os acessos via LoungeKey, Visa Airport Companion e a Sala Mastercard Black do Aeroporto de Guarulhos.</t>
  </si>
  <si>
    <r>
      <rPr>
        <rFont val="Arial"/>
        <b/>
        <color rgb="FFFFFFFF"/>
        <sz val="14.0"/>
      </rPr>
      <t xml:space="preserve">Banese 
</t>
    </r>
    <r>
      <rPr>
        <rFont val="Arial"/>
        <b val="0"/>
        <color rgb="FFFFFFFF"/>
        <sz val="12.0"/>
      </rPr>
      <t>Banese Card</t>
    </r>
  </si>
  <si>
    <t>ELO</t>
  </si>
  <si>
    <r>
      <rPr>
        <color rgb="FF434343"/>
        <sz val="12.0"/>
      </rPr>
      <t>✔️No primeiro ano de uso você contará com a isenção da anuidade, continuando gratuita caso seus gastos sejam iguais ou superiores a R$ 5.500,00 por fatura
✔️Os cartões adicionais também contarão com essa isenção. A partir do segundo ano, o valor da anuidade passará a ser cobrado em 12 parcelas mensais
✔️Você terá direito a escolher os 6 benefícios que mais combinam com o seu estilo de vida, dentro de mais de 20 opções oferecidas pelo Elo Flex. Veja mais:</t>
    </r>
    <r>
      <rPr>
        <color rgb="FF434343"/>
        <sz val="12.0"/>
      </rPr>
      <t xml:space="preserve"> </t>
    </r>
    <r>
      <rPr>
        <color rgb="FF1155CC"/>
        <sz val="12.0"/>
        <u/>
      </rPr>
      <t xml:space="preserve">https://www.elo.com.br/produtos/pessoais/banese-card-elo-nanquim
</t>
    </r>
    <r>
      <rPr>
        <color rgb="FF434343"/>
        <sz val="12.0"/>
      </rPr>
      <t xml:space="preserve">
✔️ Sala VIP - 2 acessos gratuitos por ano civil ao Programa Priority Pass</t>
    </r>
  </si>
  <si>
    <r>
      <rPr>
        <rFont val="Arial"/>
        <b/>
        <color rgb="FFFFFFFF"/>
        <sz val="14.0"/>
      </rPr>
      <t xml:space="preserve">XP </t>
    </r>
    <r>
      <rPr>
        <rFont val="Arial"/>
        <b/>
        <color rgb="FFFFFFFF"/>
        <sz val="12.0"/>
      </rPr>
      <t>Investimentos</t>
    </r>
  </si>
  <si>
    <t>Não exigida</t>
  </si>
  <si>
    <r>
      <rPr>
        <color rgb="FF434343"/>
        <sz val="12.0"/>
      </rPr>
      <t xml:space="preserve">✔️ Investback: Faturas até 1.500 não geram; Entre 1.500 e 3.000 geram 0,5%; Acima de 3.000 geram 1% - </t>
    </r>
    <r>
      <rPr>
        <color rgb="FF1155CC"/>
        <sz val="12.0"/>
        <u/>
      </rPr>
      <t>https://lps.xpi.com.br/cartao-de-credito/</t>
    </r>
    <r>
      <rPr>
        <color rgb="FF434343"/>
        <sz val="12.0"/>
      </rPr>
      <t xml:space="preserve"> 
✔️ 2,2 pontos por dólar gasto em compras que ultrapassem 7.500 por mês. Para faturas abaixo deste valor, a pontuação é de 1,6 pontos por dólar.
✔️ Isenção total de anuidade.
✔️ Para ter o acesso liberado às salas VIP (Dragon Pass), é obrigatório que o cliente mantenha um gasto mínimo de 3.000 em compras por fatura.
✔️ Cartão XP: 4 acessos gratuitos por ano. Cartão Categoria One (investimentos abaixo de 50 mil): 2 acessos. Até 6 adicionais grátis.</t>
    </r>
  </si>
  <si>
    <t>BTG+ Black</t>
  </si>
  <si>
    <t>Dotz, Esfera ou Livelo</t>
  </si>
  <si>
    <t>Cashback ou Dólar</t>
  </si>
  <si>
    <r>
      <rPr>
        <color rgb="FF434343"/>
        <sz val="12.0"/>
      </rPr>
      <t xml:space="preserve">✔️Invista a partir de R$40.000 no BTG para ter anuidade zero.
✔️1% dos seus gastos no crédito devolvidos para você como investimento no fundo (Renda Fixa, ESG ou Bitcoin)
✔️Cartão de crédito com IOF de papel moeda. Ao usar seu cartão BTG+ na viagem, você recebe de volta 5,28% das compras na fatura.
✔️4 acessos "gratuitos" (reembolso na fatura) por ano em mais de 1000 salas VIP Lounge Key
✔️Para ter o cartão você precisa ter uma renda mensal acima de R$15mil ou investir a partir de R$40mil no BTG Pactual
✔️Exemplo de plano: Black base + (programa de pontos, conversão 2.2 por dólar): Mensal de R$ 85 - isenta com gasto acima de R$ 10.000/mês - Todos os planos: </t>
    </r>
    <r>
      <rPr>
        <color rgb="FF1155CC"/>
        <sz val="12.0"/>
        <u/>
      </rPr>
      <t>https://www.btgmais.com/wp-content/uploads/2021/11/Tabela_Cartoes-Mensalidades_Isencoes.pdf?x68511</t>
    </r>
    <r>
      <rPr>
        <color rgb="FF434343"/>
        <sz val="12.0"/>
      </rPr>
      <t xml:space="preserve"> </t>
    </r>
  </si>
  <si>
    <r>
      <rPr>
        <rFont val="Arial"/>
        <b/>
        <color rgb="FFFFFFFF"/>
        <sz val="14.0"/>
      </rPr>
      <t xml:space="preserve">Nubank
</t>
    </r>
    <r>
      <rPr>
        <rFont val="Arial"/>
        <b val="0"/>
        <color rgb="FFFFFFFF"/>
        <sz val="12.0"/>
      </rPr>
      <t>Ultravioleta</t>
    </r>
  </si>
  <si>
    <t>Ultravioleta (Black)</t>
  </si>
  <si>
    <t>✔️Com cartão black que gera a partir de 2,2 pontos por dólar gasto ou 1,25% de cashback
✔️Isenção de anuidade com gasto de no mínimo R$ 8.000 e/ou que possuem R$ 50 mil guardados ou investidos no Nubank
✔️ Suas compras internacionais feitas no cartão de crédito Ultravioleta têm o IOF de volta na fatura em até 7 dias, e o spread reduzido para 3,5%.
✔️ 4 acessos Priority Pass e Lounge Ultravioleta em GRU</t>
  </si>
  <si>
    <r>
      <rPr>
        <rFont val="Arial"/>
        <b/>
        <color rgb="FFFFFFFF"/>
        <sz val="14.0"/>
      </rPr>
      <t xml:space="preserve">Sicoob
</t>
    </r>
    <r>
      <rPr>
        <rFont val="Arial"/>
        <b val="0"/>
        <color rgb="FFFFFFFF"/>
        <sz val="12.0"/>
      </rPr>
      <t>Black Merit Pro</t>
    </r>
  </si>
  <si>
    <t>✔️ Spread Zero em compras internacionais (cobra a cotação PTAX sem ágio do banco).
✔️ Pontuação aumentada recentemente para 2,5 pontos por dólar (pontos válidos por 24 meses).
⚠️ MUDANÇA 2026: O cartão sofreu um downgrade e perdeu o acesso ilimitado às salas VIP. Agora oferece apenas 12 acessos por ano pelo LoungeKey (titular e convidados).
✔️ Acesso ilimitado à sala Mastercard Black em Guarulhos mantido.
✔️ Anuidade e isenção variam radicalmente de acordo com a sua cooperativa.
✔️ Nota: Clientes de altíssimo patrimônio estão recebendo o novo "Black Merit Pro", que mantém os acessos VIP ilimitados.</t>
  </si>
  <si>
    <t>Unicred</t>
  </si>
  <si>
    <r>
      <rPr>
        <color rgb="FF434343"/>
        <sz val="12.0"/>
      </rPr>
      <t xml:space="preserve">✔️Precisa ser cooperado da Unicred
✔️Pontuação de 2,2 por dólar gasto nas faturas abaixo de R$ 15.000,00 e 2,5 acima de R$ 15.000,00 - </t>
    </r>
    <r>
      <rPr>
        <color rgb="FF1155CC"/>
        <sz val="12.0"/>
        <u/>
      </rPr>
      <t>https://www.unicred.com.br/solucoes/cartoes?modal=visa_visainfinite</t>
    </r>
    <r>
      <rPr>
        <color rgb="FF434343"/>
        <sz val="12.0"/>
      </rPr>
      <t xml:space="preserve"> 
✔️</t>
    </r>
    <r>
      <rPr>
        <b/>
        <color rgb="FF434343"/>
        <sz val="12.0"/>
      </rPr>
      <t>12 acessos por ano</t>
    </r>
    <r>
      <rPr>
        <color rgb="FF434343"/>
        <sz val="12.0"/>
      </rPr>
      <t>, compartilhados entre o titular, cartões adicionais e acompanhantes
✔️A anuidade pode variar de acordo com a unidade da cooperativa e você também consegue negociar descontos e isenção de acordo com gastos. 
✔️Uma compra hoje no exterior pode ficar de 1 a 7% mais cara por causa do ágio. Isso varia muito de banco para banco. Atualmente a Unicred e Sicoob são os únicos que não cobram esse spread.</t>
    </r>
  </si>
  <si>
    <r>
      <rPr>
        <color rgb="FF1155CC"/>
        <sz val="10.0"/>
        <u/>
      </rPr>
      <t>Átomos</t>
    </r>
    <r>
      <rPr>
        <color rgb="FF000000"/>
        <sz val="10.0"/>
        <u/>
      </rPr>
      <t xml:space="preserve"> e Livelo</t>
    </r>
  </si>
  <si>
    <t>✔️ Anuidade isenta nos 6 primeiros meses para novas contratações​
✔️ Isenção de anuidade gastando acima de R$ 5.000
✔️ Pontos no Programa Átomos não expiram
✔️ Acesso ilimitado à sala VIP Mastercard® Black em Guarulhos
✔️ Transferência para Latam, Gol, Azul e TAP</t>
  </si>
  <si>
    <t>BTG Ultrablue</t>
  </si>
  <si>
    <r>
      <rPr>
        <color rgb="FF434343"/>
        <sz val="12.0"/>
      </rPr>
      <t xml:space="preserve">✔️Compras nacionais – 3 pontos a cada dólar gasto. Compras internacionais – 3,5 pontos a cada dólar gasto
✔️ Escolha entre pontos ou cashback. Receba 1,5% de cashback em compras nacionais ou 1,7% em compras internacionais para gastar ou investir como quiser.
✔️Política de isenção da anuidade: Anuidade gratuita para clientes com investimentos acima de R$ 400 mil
✔️ Acesso às salas VIP:
– LoungeKey: acessos gratuitos e ilimitados ao portador + 12 convidados por ano
– Sala VIP Mastercard Black Airport Lounge (GRU): acessos gratuitos e ilimitados ao portador
✔️ Concierge BTG Pactual. Conte com especialistas dedicados, diretamente no WhatsApp, para planejar e apoiar suas viagens ao redor do mundo, celebrações, eventos e fretamentos exclusivos.
✔️ Terminal exclusivo no Aeroporto de Guarulhos: </t>
    </r>
    <r>
      <rPr>
        <color rgb="FF1155CC"/>
        <sz val="12.0"/>
        <u/>
      </rPr>
      <t>https://terminal.btgpactual.com/</t>
    </r>
    <r>
      <rPr>
        <color rgb="FF434343"/>
        <sz val="12.0"/>
      </rPr>
      <t xml:space="preserve"> </t>
    </r>
  </si>
  <si>
    <r>
      <rPr>
        <rFont val="Arial"/>
        <b/>
        <color rgb="FFFFFFFF"/>
        <sz val="14.0"/>
      </rPr>
      <t xml:space="preserve">Banco Inter
</t>
    </r>
    <r>
      <rPr>
        <rFont val="Arial"/>
        <b val="0"/>
        <color rgb="FFFFFFFF"/>
        <sz val="12.0"/>
      </rPr>
      <t>Win</t>
    </r>
  </si>
  <si>
    <t>Interloop</t>
  </si>
  <si>
    <t>Win</t>
  </si>
  <si>
    <t>Para se tornar um cliente Win do Banco Inter, é necessário ter investimentos no banco acima de R$ 1 milhão</t>
  </si>
  <si>
    <t>Smiles</t>
  </si>
  <si>
    <r>
      <rPr>
        <color rgb="FF1155CC"/>
        <sz val="10.0"/>
        <u/>
      </rPr>
      <t>Átomos</t>
    </r>
    <r>
      <rPr>
        <color rgb="FF000000"/>
        <sz val="10.0"/>
        <u/>
      </rPr>
      <t xml:space="preserve"> e Livelo</t>
    </r>
  </si>
  <si>
    <t>C6 normal</t>
  </si>
  <si>
    <t>C6 + Bônus</t>
  </si>
  <si>
    <t>✔️0,28 ptos por real gasto + 600 pontos/mês fixo</t>
  </si>
  <si>
    <r>
      <rPr>
        <rFont val="Arial"/>
        <b/>
        <color rgb="FFFFFFFF"/>
        <sz val="14.0"/>
      </rPr>
      <t>ITAÚ</t>
    </r>
    <r>
      <rPr>
        <rFont val="Arial"/>
        <b/>
        <color rgb="FFFFFFFF"/>
        <sz val="12.0"/>
      </rPr>
      <t xml:space="preserve">
</t>
    </r>
    <r>
      <rPr>
        <rFont val="Arial"/>
        <b val="0"/>
        <color rgb="FFFFFFFF"/>
        <sz val="12.0"/>
      </rPr>
      <t>LATAM PASS</t>
    </r>
  </si>
  <si>
    <t>LATAM PASS</t>
  </si>
  <si>
    <t>✔️Anuidade grátis gastando R$ 20.000 por fatura
✔️Com gastos a partir de R$10.000 por fatura você garante 50% de redução no valor da anuidade
✔️Ganhe 2,5 pontos LATAM PASS a cada dólar gasto em compras no Brasil e 3,5 pontos no exterior
✔️Mantendo o gasto de R$ 20.000,00 por fatura durante os 3 primeiros meses, você GANHA 20mil pontos bônus
✔️Milhas não expiram
✔️Acesso a Sala VIP LATAM (Titular + Acompanhante) ao voar LATAM Airlines
✔️Acesso ilimitado as salas Vip Mastercard Black
✔️Embarque e Check In preferencial em voos domésticos e internacionais (titular + acompanhante)
✔️Passagens aéreas LATAM Airlines em até 10x sem juros
✔️ Até 5 cartões adicionais gratuitos
⚠️ Todos os cartões do Itaú não vão mais acumular pontos originados de transações que não representem compras de bens e/ou serviços. Exemplos: pagamento de boletos e impostos em qualquer carteira digital, pix parcelado, compra de dólar na Wise.</t>
  </si>
  <si>
    <r>
      <rPr>
        <rFont val="Arial"/>
        <b/>
        <color rgb="FFFFFFFF"/>
        <sz val="14.0"/>
      </rPr>
      <t xml:space="preserve">Uniprime
</t>
    </r>
    <r>
      <rPr>
        <rFont val="Arial"/>
        <b val="0"/>
        <color rgb="FFFFFFFF"/>
        <sz val="12.0"/>
      </rPr>
      <t>Black Mastercard</t>
    </r>
  </si>
  <si>
    <t>Livelo, TudoAzul e Latam Pass</t>
  </si>
  <si>
    <t xml:space="preserve">✔️Precisa ser cooperado da Uniprime
✔️0,7 pontos por dólar gasto na função débito
✔️Acumule Pontos Uniprime e troque por passagens aéreas e recompensa em um dos nossos parceiros: Livelo, TudoAzul e Latam Pass
✔️Spread zero para compras no exterior
</t>
  </si>
  <si>
    <t>PicPay Card</t>
  </si>
  <si>
    <t>Cashback</t>
  </si>
  <si>
    <r>
      <rPr>
        <color rgb="FF434343"/>
        <sz val="12.0"/>
      </rPr>
      <t xml:space="preserve">✔️ Cartão Pessoa Física do Banco Original agora é Picpay
✔️ O PicPay Card Gold não possui anuidade. Para o PicPay Card Platinum e o PicPay Card Black, a parcela mensal da anuidade pode ser zero no mês em que você atingir um valor mínimo em compras com o cartão, mantiver um valor mínimo de investimentos ou receber o seu salário na conta PicPay
✔️ Isenção de anuidade com gastos a partir de R$ 8.000/mês ou investimentos a partir de R$ 50.000
✔️ Anuidade e taxas - </t>
    </r>
    <r>
      <rPr>
        <color rgb="FF1155CC"/>
        <sz val="12.0"/>
        <u/>
      </rPr>
      <t>https://tarifas-taxas.picpay.com/</t>
    </r>
    <r>
      <rPr>
        <color rgb="FF434343"/>
        <sz val="12.0"/>
      </rPr>
      <t xml:space="preserve"> </t>
    </r>
  </si>
  <si>
    <r>
      <rPr>
        <rFont val="Arial"/>
        <b/>
        <color rgb="FFFFFFFF"/>
        <sz val="14.0"/>
      </rPr>
      <t xml:space="preserve">Banco Inter
</t>
    </r>
    <r>
      <rPr>
        <rFont val="Arial"/>
        <b val="0"/>
        <color rgb="FFFFFFFF"/>
        <sz val="12.0"/>
      </rPr>
      <t>Black</t>
    </r>
  </si>
  <si>
    <r>
      <rPr>
        <b/>
        <color rgb="FF434343"/>
        <sz val="12.0"/>
      </rPr>
      <t>✔️ Para ter o cartão Black no Inter, você precisa:</t>
    </r>
    <r>
      <rPr>
        <color rgb="FF434343"/>
        <sz val="12.0"/>
      </rPr>
      <t xml:space="preserve">
- Ter uma carteira de investimentos a partir de R$ 250 mil investidos ou
- Participar de uma comunidade de investimentos com R$ 2 milhões investidos ou
- Ter cada uma das últimas 4 faturas do seu cartão Inter acima de R$ 7 mil ou
- Assinar o plano anual do Duo Gourmet - </t>
    </r>
    <r>
      <rPr>
        <color rgb="FF1155CC"/>
        <sz val="12.0"/>
        <u/>
      </rPr>
      <t>https://inter.co/pra-voce/duo-gourmet/</t>
    </r>
    <r>
      <rPr>
        <color rgb="FF434343"/>
        <sz val="12.0"/>
      </rPr>
      <t xml:space="preserve"> por 12x R$ 59 (R$ 708)
✔️ Você garante 1 ponto no Inter Loop a cada R$2,50 em compras. É preciso ter o Débito Automático de fatura ativo para acumular pontos
✔️ Salas VIP: 
Sala VIP Lounge exclusiva nos aeroportos de Guarulhos e Curitiba. 
Se você tem a partir de R$ 250.000 investidos no Inter, seu acesso às VIP Lounge Inter é gratuito e ilimitado.
</t>
    </r>
    <r>
      <rPr>
        <b/>
        <color rgb="FF434343"/>
        <sz val="12.0"/>
      </rPr>
      <t>Se você adquiriu um cartão Black por:</t>
    </r>
    <r>
      <rPr>
        <color rgb="FF434343"/>
        <sz val="12.0"/>
      </rPr>
      <t xml:space="preserve">
- Campanhas promocionais
- Promoções exclusivas de assinatura anual Inter Duo Gourmet
- Gastos na fatura
Seu acesso gratuito às VIP Lounge Inter são limitados a</t>
    </r>
    <r>
      <rPr>
        <b/>
        <color rgb="FF434343"/>
        <sz val="12.0"/>
      </rPr>
      <t xml:space="preserve"> 6 vezes ao ano.</t>
    </r>
    <r>
      <rPr>
        <color rgb="FF434343"/>
        <sz val="12.0"/>
      </rPr>
      <t xml:space="preserve">
✔️ Acesso gratuito via Priotiy Pass - </t>
    </r>
    <r>
      <rPr>
        <color rgb="FF1155CC"/>
        <sz val="12.0"/>
        <u/>
      </rPr>
      <t>https://blog.inter.co/priority-pass</t>
    </r>
  </si>
  <si>
    <r>
      <rPr>
        <rFont val="Arial"/>
        <b/>
        <color rgb="FFFFFFFF"/>
        <sz val="14.0"/>
      </rPr>
      <t>ITAÚ</t>
    </r>
    <r>
      <rPr>
        <rFont val="Arial"/>
        <b/>
        <color rgb="FFFFFFFF"/>
        <sz val="12.0"/>
      </rPr>
      <t xml:space="preserve">
</t>
    </r>
    <r>
      <rPr>
        <rFont val="Arial"/>
        <b val="0"/>
        <color rgb="FFFFFFFF"/>
        <sz val="12.0"/>
      </rPr>
      <t>LATAM PASS</t>
    </r>
  </si>
  <si>
    <t>✔️Anuidade grátis gastando R$ 4.000 por fatura
✔️Com gastos a partir de R$2.000 por fatura você garante 50% de redução no valor da anuidade
✔️Mantendo o gasto de R$ 4.000,00 por fatura durante os 3 primeiros meses, você GANHA 8mil pontos bônus
✔️ Ganhe 3 trechos de cortesia para Upgrade de Cabine dentro da América do Sul e 1 trecho fora da América do Sul.
✔️Passagens áreas LATAM Airlines em até 10x sem juros
✔️30% de desconto na compra de pontos LATAM PASS
⚠️ Todos os cartões do Itaú não acumulam pontos originados de transações que não representem compras de bens e/ou serviços. Exemplos: pagamento de boletos e impostos em qualquer carteira digital, pix parcelado, compra de dólar na Wise.</t>
  </si>
  <si>
    <r>
      <rPr>
        <rFont val="Arial"/>
        <b/>
        <color rgb="FFFFFFFF"/>
        <sz val="14.0"/>
      </rPr>
      <t xml:space="preserve">Banco PAN
</t>
    </r>
    <r>
      <rPr>
        <rFont val="Arial"/>
        <b val="0"/>
        <color rgb="FFFFFFFF"/>
        <sz val="12.0"/>
      </rPr>
      <t>Méliuz</t>
    </r>
  </si>
  <si>
    <t>Lojas parceiras com Cashback</t>
  </si>
  <si>
    <r>
      <rPr>
        <b/>
        <color rgb="FF434343"/>
        <sz val="12.0"/>
      </rPr>
      <t>NOVO CARTÃO:</t>
    </r>
    <r>
      <rPr>
        <color rgb="FF434343"/>
        <sz val="12.0"/>
      </rPr>
      <t xml:space="preserve"> </t>
    </r>
    <r>
      <rPr>
        <color rgb="FF1155CC"/>
        <sz val="12.0"/>
        <u/>
      </rPr>
      <t>https://www.meliuz.com.br/cartao-de-credito</t>
    </r>
    <r>
      <rPr>
        <color rgb="FF434343"/>
        <sz val="12.0"/>
      </rPr>
      <t xml:space="preserve"> 
✔️ Até 1% de cashback nas compras com Cartão de crédito Méliuz
✔️ 1% de cashback extra nas compras em lojas online parceiras, iniciadas pelo Méliuz e pagas com o seu cartão de crédito.
✔️ Mais segurança: todos os dados do seu cartão ficam apenas no app do Méliuz
</t>
    </r>
    <r>
      <rPr>
        <b/>
        <color rgb="FF434343"/>
        <sz val="12.0"/>
      </rPr>
      <t>A porcentagem de cashback varia de acordo com o valor da fatura:</t>
    </r>
    <r>
      <rPr>
        <color rgb="FF434343"/>
        <sz val="12.0"/>
      </rPr>
      <t xml:space="preserve">
✔️ Até R$ 1.500: 0,1% de cashback em TODAS as compras + 1% de cashback extra nas compras online iniciadas pelo Méliuz.
✔️ Entre R$ 1.500,01 e R$ 3.000: 0,2% de cashback em TODAS as compras + 1% de cashback extra nas compras online iniciadas pelo Méliuz.
✔️ Entre R$ 3.000,01 e R$ 5.000: 0,5% de cashback em TODAS as compras + 1% de cashback extra nas compras online iniciadas pelo Méliuz.
✔️ Acima de R$ 5.000,01: 1% de cashback em TODAS as compras + 1% de cashback extra nas compras online iniciadas pelo Méliuz.
O cashback é confirmado após o pagamento da fatura. Cashback extra exclusivo para compras online iniciadas pelo Méliuz e pagas com o Cartão virtual ou Cartão de crédito Méliuz. A confirmação do cashback extra depende da confirmação da compra pela loja parceira.</t>
    </r>
  </si>
  <si>
    <r>
      <rPr>
        <color rgb="FF1155CC"/>
        <sz val="10.0"/>
        <u/>
      </rPr>
      <t>Átomos</t>
    </r>
    <r>
      <rPr>
        <color rgb="FF000000"/>
        <sz val="10.0"/>
        <u/>
      </rPr>
      <t xml:space="preserve"> e Livelo</t>
    </r>
  </si>
  <si>
    <t>C6 + Pontos</t>
  </si>
  <si>
    <r>
      <rPr>
        <rFont val="Arial"/>
        <b/>
        <color rgb="FFFFFFFF"/>
        <sz val="14.0"/>
      </rPr>
      <t>ITAÚ</t>
    </r>
    <r>
      <rPr>
        <rFont val="Arial"/>
        <b/>
        <color rgb="FFFFFFFF"/>
        <sz val="12.0"/>
      </rPr>
      <t xml:space="preserve">
</t>
    </r>
    <r>
      <rPr>
        <rFont val="Arial"/>
        <b val="0"/>
        <color rgb="FFFFFFFF"/>
        <sz val="12.0"/>
      </rPr>
      <t>Azul</t>
    </r>
  </si>
  <si>
    <t>Azul Fidelidade</t>
  </si>
  <si>
    <t>✔️ Novo modelo lançado: Mastercard Skyline, com os mesmos benefícios do Visa Infinite.
✔️ Pontuação: 3,0 (nacional) e 3,5 (internacional). Durante promoções para o Clube Azul, chega a 5,25 pontos por dólar.
✔️ Benefícios mantidos: Upgrade de cabine, passagens cortesia (Companion Pass) batendo 50.000 pontos acumulados no ciclo e bagagens grátis.
⚠️ MUDANÇA 2026: A partir de abril de 2026, os cartões Visa Infinite e Mastercard Skyline perdem o acesso gratuito e ilimitado à Sala Lounge Azul em Campinas (o benefício passará a ser restrito apenas aos membros das novas categorias Diamante Unique e One).
✔️ O acesso global segue liberado via LoungeKey (2 acessos anuais grátis).</t>
  </si>
  <si>
    <t>Azul</t>
  </si>
  <si>
    <r>
      <rPr>
        <rFont val="Arial"/>
        <b/>
        <color rgb="FFFFFFFF"/>
        <sz val="14.0"/>
      </rPr>
      <t xml:space="preserve">Bradesco 
</t>
    </r>
    <r>
      <rPr>
        <rFont val="Arial"/>
        <b val="0"/>
        <color rgb="FFFFFFFF"/>
        <sz val="12.0"/>
      </rPr>
      <t>The Platinum Card</t>
    </r>
  </si>
  <si>
    <t>The Platinum Card (TPC)</t>
  </si>
  <si>
    <t>✔️ Apenas na versão de METAL do TPC: 2 acessos gratuitos as salas VIP Priority Pass por ano civil. 
✔️ Salas VIP The Centurion Lounge, Delta Sky Club e Airspace Lounge em diversos aeroportos do mundo
✔️ Status Gold nos programas de fidelidade das redes de hotéis Hilton, Melia e Radisson e, nas locadoras de veículos Sixt e Hertz, respectivamente, os status Platinum e 5-Stars
✔️Pontos que nunca expiram</t>
  </si>
  <si>
    <t>Nubank Croma</t>
  </si>
  <si>
    <t>Croma (Platinum)</t>
  </si>
  <si>
    <t>✔️ Escolha entre 0,8% cashback OU 1,4 pontos por dólar gasto (não cumulativo) 
✔️ Isenção de anuidade (R$39/mês) com gasto de R$4.000/mês na fatura OU R$30 mil investidos/guardados no Nubank 
✔️ Transferência de pontos para LATAM Pass, Azul Fidelidade e Smiles 
✔️ 5% de cashback em 28 assinaturas de streaming (Netflix, Spotify, YouTube Premium, iFood etc) 
✔️ Caixinha Turbo 120% CDI, CDB Croma até 130% CDI, 80% de desconto HBO Max, ChatGPT Go grátis 6 meses 
⚠️ ALERTA: ter limite de crédito exatamente igual à régua de isenção (R$4 mil) pode não ser suficiente — compras parceladas consomem limite disponível na hora, então o limite liberado precisa ser maior que a régua pra isenção realmente valer. 
Lançado em 28/07/2026.</t>
  </si>
  <si>
    <r>
      <rPr>
        <rFont val="Arial"/>
        <b/>
        <color rgb="FFFFFFFF"/>
        <sz val="14.0"/>
      </rPr>
      <t xml:space="preserve">Banco PAN
</t>
    </r>
    <r>
      <rPr>
        <rFont val="Arial"/>
        <b val="0"/>
        <color rgb="FFFFFFFF"/>
        <sz val="12.0"/>
      </rPr>
      <t>Buscapé</t>
    </r>
  </si>
  <si>
    <t>Gold</t>
  </si>
  <si>
    <r>
      <rPr>
        <rFont val="Arial"/>
        <color rgb="FF434343"/>
        <sz val="12.0"/>
      </rPr>
      <t xml:space="preserve">✔️Anuidade de 12x de R$ 30,00 (trinta reais) com isenção nos 6 primeiros meses
✔️Ganhe até 2% de Cashback
✔️Cashback de até 2%: o cartão conta com até 1% de cashback em todas as compras que você fizer. Mas, se você fizer suas compras no Buscapé, você pode receber até 1% a mais desse valor de volta.
✔️ Até 1% de Cashback no valor final da sua fatura:
- Faturas até R$ 750 | Não elegíveis
- Faturas entre R$ 750,01 e R$ 1.500,00 | 0,5% de Cashback
</t>
    </r>
    <r>
      <rPr>
        <rFont val="Arial"/>
        <b/>
        <color rgb="FF434343"/>
        <sz val="12.0"/>
      </rPr>
      <t>- Faturas acima de R$ 1.500,01 | 1% de Cashback</t>
    </r>
    <r>
      <rPr>
        <rFont val="Arial"/>
        <color rgb="FF434343"/>
        <sz val="12.0"/>
      </rPr>
      <t xml:space="preserve">
✔️ Cinema Kinoplex - 50% de desconto na compra de 2 ingressos + 50% de desconto no combo mega de pipoca e refrigerante</t>
    </r>
  </si>
  <si>
    <r>
      <rPr>
        <rFont val="Arial"/>
        <b/>
        <color rgb="FFFFFFFF"/>
        <sz val="14.0"/>
      </rPr>
      <t xml:space="preserve">Bradesco 
</t>
    </r>
    <r>
      <rPr>
        <rFont val="Arial"/>
        <b val="0"/>
        <color rgb="FFFFFFFF"/>
        <sz val="12.0"/>
      </rPr>
      <t>ELO Nanquim</t>
    </r>
  </si>
  <si>
    <t>✔️ Acesso ilimitado e gratuito a salas VIP do Bradesco.
✔️ 2 acessos gratuitos as salas VIP Priority Pass por ano civil. O Elo Diners Club tem acesso ilimitados com direito a um convidado.
✔️ Salas VIP Bradesco e ELO.
✔️ELO Flex - Você tem a possibilidade de escolher até 4 benefícios, sem custo adicional, de acordo com seu emissor.</t>
  </si>
  <si>
    <t>RappiCard</t>
  </si>
  <si>
    <t>Parceiros Rappi</t>
  </si>
  <si>
    <t xml:space="preserve">✔️ 3% de cashback em compras no Rappi e 1% em todas as outras compras
✔️Exclusivo para usuário Rappi Prime
✔️O valor do cashback fica disponível apenas no App da Rappi. Você só pode transferir o cashback para sua RappiConta e utilizar em compras dentro do aplicativo
</t>
  </si>
  <si>
    <r>
      <rPr>
        <rFont val="Arial"/>
        <b/>
        <color rgb="FFFFFFFF"/>
        <sz val="14.0"/>
      </rPr>
      <t xml:space="preserve">Bari
</t>
    </r>
    <r>
      <rPr>
        <rFont val="Arial"/>
        <b val="0"/>
        <color rgb="FFFFFFFF"/>
        <sz val="12.0"/>
      </rPr>
      <t>Baricard</t>
    </r>
  </si>
  <si>
    <t>Grafite</t>
  </si>
  <si>
    <t>✔️ Quem possui o Baricard Elo Grafite e tem gasto acima de R$ 750 na fatura acumula pontos Livelo. Também acumula pontos quem tem R$ 15 mil em aplicações no Banco Bari
✔️Possui 3 dos 19 benefícios Flex para usar gratuitamente. Exemplo de alguns: Seguro viagem, Assistência 24h, Pet conveniência
✔️Saques na Rede24Horas quando você precisar
✔️ Por enquanto, não há a cobrança de anuidade no Baricard. O banco deixa claro que isso pode mudar no futuro!</t>
  </si>
  <si>
    <r>
      <rPr>
        <rFont val="Arial"/>
        <b/>
        <color rgb="FFFFFFFF"/>
        <sz val="14.0"/>
      </rPr>
      <t>ITAÚ</t>
    </r>
    <r>
      <rPr>
        <rFont val="Arial"/>
        <b/>
        <color rgb="FFFFFFFF"/>
        <sz val="12.0"/>
      </rPr>
      <t xml:space="preserve">
</t>
    </r>
    <r>
      <rPr>
        <rFont val="Arial"/>
        <b val="0"/>
        <color rgb="FFFFFFFF"/>
        <sz val="12.0"/>
      </rPr>
      <t>CLICK</t>
    </r>
  </si>
  <si>
    <t>Iupp</t>
  </si>
  <si>
    <t>Visa ou Mastercard</t>
  </si>
  <si>
    <t>1 ponto a cada R$ 5 gasto</t>
  </si>
  <si>
    <t>✔️ Versão Platinum que pontua 1 ponto a cada 5 reais gastos no Iupp/Itaú Shop.
⚠️ Nova Regra Itaú: Os cartões não acumulam mais pontos originados de transações de pagamento de contas, boletos, impostos em carteiras digitais (PicPay, Mercado Pago, etc), Pix parcelado ou recargas de saldo em contas globais (como Wise, Nomad e Revolut). Apenas compras de bens e serviços geram pontos.</t>
  </si>
  <si>
    <t>✔️ 2% de cashback em compras no Rappi e 0,5% em todas as outras compras
✔️ O valor do cashback fica disponível apenas no App da Rappi. Você só pode transferir o cashback para sua RappiConta e utilizar em compras dentro do aplicativo</t>
  </si>
  <si>
    <r>
      <rPr>
        <color rgb="FF1155CC"/>
        <sz val="10.0"/>
        <u/>
      </rPr>
      <t>Átomos</t>
    </r>
    <r>
      <rPr>
        <color rgb="FF000000"/>
        <sz val="10.0"/>
        <u/>
      </rPr>
      <t xml:space="preserve"> e Livelo</t>
    </r>
  </si>
  <si>
    <t>SEM</t>
  </si>
  <si>
    <t>Digio</t>
  </si>
  <si>
    <t>Internacional</t>
  </si>
  <si>
    <t>Variável</t>
  </si>
  <si>
    <r>
      <rPr>
        <rFont val="Arial"/>
        <color rgb="FF434343"/>
        <sz val="12.0"/>
      </rPr>
      <t>✔️R$ 3 = 1 pto (Tarifa de R$ 4,90+1,5% da fatura)
✔️R$ 2 = 1 pto (Tarifa de R$ 4,90+2% da fatura)
✔️R$ 1 = 1 pto</t>
    </r>
    <r>
      <rPr>
        <rFont val="Arial"/>
        <color rgb="FF434343"/>
        <sz val="11.0"/>
      </rPr>
      <t xml:space="preserve"> (Tarifa de R$ 4,90+3,5% da fatura)</t>
    </r>
  </si>
  <si>
    <t>Gasto mensal no cartão</t>
  </si>
  <si>
    <t>Valor do milheiro Smiles</t>
  </si>
  <si>
    <t>ASSINE O CLUBE SMILES CLICANDO AQUI E GANHE MAIS 1.000 MILHAS SMILES</t>
  </si>
  <si>
    <t>Valor do milheiro LATAM Pass</t>
  </si>
  <si>
    <t>Valor do milheiro Azul Fidelidade</t>
  </si>
  <si>
    <t>ASSINE O CLUBE AZUL CLICANDO AQUI E GANHE MAIS 1.000 MILHAS AZUL</t>
  </si>
  <si>
    <t>Valor do milheiro TAP</t>
  </si>
  <si>
    <t>Valor do milheiro AA</t>
  </si>
  <si>
    <t>AVIOS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</si>
</sst>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R$ -416]#,##0"/>
    <numFmt numFmtId="165" formatCode="[$R$ -416]#,##0.00"/>
    <numFmt numFmtId="166" formatCode="#,##0.0"/>
    <numFmt numFmtId="167" formatCode="0.0%"/>
  </numFmts>
  <fonts count="41">
    <font>
      <sz val="10.0"/>
      <color rgb="FF000000"/>
      <name val="Arial"/>
      <scheme val="minor"/>
    </font>
    <font>
      <color theme="1"/>
      <name val="Arial"/>
      <scheme val="minor"/>
    </font>
    <font>
      <b/>
      <sz val="12.0"/>
      <color rgb="FFFFFFFF"/>
      <name val="Arial"/>
      <scheme val="minor"/>
    </font>
    <font>
      <b/>
      <sz val="10.0"/>
      <color rgb="FFFFFFFF"/>
      <name val="Arial"/>
      <scheme val="minor"/>
    </font>
    <font>
      <b/>
      <sz val="9.0"/>
      <color rgb="FFFFFFFF"/>
      <name val="Arial"/>
      <scheme val="minor"/>
    </font>
    <font>
      <sz val="12.0"/>
      <color theme="1"/>
      <name val="Arial"/>
      <scheme val="minor"/>
    </font>
    <font>
      <b/>
      <sz val="14.0"/>
      <color rgb="FFFFFFFF"/>
      <name val="Arial"/>
      <scheme val="minor"/>
    </font>
    <font>
      <sz val="9.0"/>
      <color rgb="FF000000"/>
      <name val="Arial"/>
      <scheme val="minor"/>
    </font>
    <font>
      <sz val="12.0"/>
      <color rgb="FF434343"/>
      <name val="Arial"/>
      <scheme val="minor"/>
    </font>
    <font>
      <sz val="12.0"/>
      <color rgb="FFFFFFFF"/>
      <name val="Arial"/>
      <scheme val="minor"/>
    </font>
    <font>
      <sz val="10.0"/>
      <color rgb="FF434343"/>
      <name val="Arial"/>
      <scheme val="minor"/>
    </font>
    <font>
      <sz val="14.0"/>
      <color rgb="FF434343"/>
      <name val="Arial"/>
      <scheme val="minor"/>
    </font>
    <font>
      <u/>
      <sz val="12.0"/>
      <color rgb="FF0000FF"/>
    </font>
    <font>
      <b/>
      <sz val="14.0"/>
      <color rgb="FF000000"/>
      <name val="Arial"/>
      <scheme val="minor"/>
    </font>
    <font>
      <u/>
      <sz val="10.0"/>
      <color rgb="FF0000FF"/>
    </font>
    <font>
      <sz val="9.0"/>
      <color rgb="FF434343"/>
      <name val="Arial"/>
      <scheme val="minor"/>
    </font>
    <font>
      <u/>
      <sz val="12.0"/>
      <color rgb="FF0000FF"/>
    </font>
    <font>
      <u/>
      <sz val="10.0"/>
      <color rgb="FF0000FF"/>
    </font>
    <font>
      <u/>
      <sz val="12.0"/>
      <color rgb="FF434343"/>
    </font>
    <font>
      <sz val="11.0"/>
      <color rgb="FF434343"/>
      <name val="Arial"/>
      <scheme val="minor"/>
    </font>
    <font>
      <u/>
      <sz val="10.0"/>
      <color rgb="FF1155CC"/>
    </font>
    <font>
      <u/>
      <sz val="12.0"/>
      <color rgb="FF0000FF"/>
    </font>
    <font>
      <u/>
      <sz val="12.0"/>
      <color rgb="FF1155CC"/>
      <name val="Arial"/>
      <scheme val="minor"/>
    </font>
    <font>
      <u/>
      <sz val="12.0"/>
      <color rgb="FF1155CC"/>
    </font>
    <font>
      <b/>
      <sz val="13.0"/>
      <color rgb="FF000000"/>
      <name val="Arial"/>
      <scheme val="minor"/>
    </font>
    <font>
      <sz val="10.0"/>
      <color theme="1"/>
      <name val="Arial"/>
      <scheme val="minor"/>
    </font>
    <font>
      <u/>
      <sz val="9.0"/>
      <color rgb="FF0000FF"/>
    </font>
    <font>
      <u/>
      <sz val="12.0"/>
      <color rgb="FF1155CC"/>
    </font>
    <font>
      <u/>
      <sz val="12.0"/>
      <color rgb="FF0000FF"/>
    </font>
    <font>
      <u/>
      <sz val="14.0"/>
      <color rgb="FF1155CC"/>
      <name val="Arial"/>
      <scheme val="minor"/>
    </font>
    <font>
      <sz val="14.0"/>
      <color rgb="FF434343"/>
      <name val="Arial"/>
    </font>
    <font>
      <u/>
      <sz val="12.0"/>
      <color rgb="FF0000FF"/>
    </font>
    <font>
      <u/>
      <sz val="12.0"/>
      <color rgb="FF0000FF"/>
    </font>
    <font>
      <u/>
      <sz val="10.0"/>
      <color rgb="FF1155CC"/>
    </font>
    <font>
      <u/>
      <sz val="12.0"/>
      <color rgb="FF1155CC"/>
    </font>
    <font>
      <i/>
      <sz val="14.0"/>
      <color rgb="FF434343"/>
      <name val="Arial"/>
      <scheme val="minor"/>
    </font>
    <font>
      <b/>
      <u/>
      <sz val="12.0"/>
      <color theme="8"/>
    </font>
    <font>
      <b/>
      <u/>
      <sz val="12.0"/>
      <color theme="8"/>
      <name val="Arial"/>
      <scheme val="minor"/>
    </font>
    <font>
      <b/>
      <u/>
      <sz val="14.0"/>
      <color rgb="FF1155CC"/>
      <name val="Arial"/>
      <scheme val="minor"/>
    </font>
    <font>
      <b/>
      <sz val="12.0"/>
      <color theme="4"/>
      <name val="Arial"/>
      <scheme val="minor"/>
    </font>
    <font>
      <b/>
      <u/>
      <sz val="12.0"/>
      <color theme="4"/>
    </font>
  </fonts>
  <fills count="36">
    <fill>
      <patternFill patternType="none"/>
    </fill>
    <fill>
      <patternFill patternType="lightGray"/>
    </fill>
    <fill>
      <patternFill patternType="solid">
        <fgColor rgb="FF434343"/>
        <bgColor rgb="FF434343"/>
      </patternFill>
    </fill>
    <fill>
      <patternFill patternType="solid">
        <fgColor rgb="FFFFFFFF"/>
        <bgColor rgb="FFFFFFFF"/>
      </patternFill>
    </fill>
    <fill>
      <patternFill patternType="solid">
        <fgColor rgb="FF274E13"/>
        <bgColor rgb="FF274E13"/>
      </patternFill>
    </fill>
    <fill>
      <patternFill patternType="solid">
        <fgColor rgb="FF0C343D"/>
        <bgColor rgb="FF0C343D"/>
      </patternFill>
    </fill>
    <fill>
      <patternFill patternType="solid">
        <fgColor rgb="FFDE0332"/>
        <bgColor rgb="FFDE0332"/>
      </patternFill>
    </fill>
    <fill>
      <patternFill patternType="solid">
        <fgColor rgb="FF000000"/>
        <bgColor rgb="FF000000"/>
      </patternFill>
    </fill>
    <fill>
      <patternFill patternType="solid">
        <fgColor rgb="FFF3F3F3"/>
        <bgColor rgb="FFF3F3F3"/>
      </patternFill>
    </fill>
    <fill>
      <patternFill patternType="solid">
        <fgColor rgb="FFCB0200"/>
        <bgColor rgb="FFCB0200"/>
      </patternFill>
    </fill>
    <fill>
      <patternFill patternType="solid">
        <fgColor rgb="FF005CA9"/>
        <bgColor rgb="FF005CA9"/>
      </patternFill>
    </fill>
    <fill>
      <patternFill patternType="solid">
        <fgColor rgb="FFF2D400"/>
        <bgColor rgb="FFF2D400"/>
      </patternFill>
    </fill>
    <fill>
      <patternFill patternType="solid">
        <fgColor rgb="FF02A091"/>
        <bgColor rgb="FF02A091"/>
      </patternFill>
    </fill>
    <fill>
      <patternFill patternType="solid">
        <fgColor rgb="FF009FE1"/>
        <bgColor rgb="FF009FE1"/>
      </patternFill>
    </fill>
    <fill>
      <patternFill patternType="solid">
        <fgColor rgb="FFE8731C"/>
        <bgColor rgb="FFE8731C"/>
      </patternFill>
    </fill>
    <fill>
      <patternFill patternType="solid">
        <fgColor rgb="FFFFCE02"/>
        <bgColor rgb="FFFFCE02"/>
      </patternFill>
    </fill>
    <fill>
      <patternFill patternType="solid">
        <fgColor rgb="FF469121"/>
        <bgColor rgb="FF469121"/>
      </patternFill>
    </fill>
    <fill>
      <patternFill patternType="solid">
        <fgColor rgb="FF124373"/>
        <bgColor rgb="FF124373"/>
      </patternFill>
    </fill>
    <fill>
      <patternFill patternType="solid">
        <fgColor rgb="FF125742"/>
        <bgColor rgb="FF125742"/>
      </patternFill>
    </fill>
    <fill>
      <patternFill patternType="solid">
        <fgColor rgb="FF202F5C"/>
        <bgColor rgb="FF202F5C"/>
      </patternFill>
    </fill>
    <fill>
      <patternFill patternType="solid">
        <fgColor rgb="FFD9EAD3"/>
        <bgColor rgb="FFD9EAD3"/>
      </patternFill>
    </fill>
    <fill>
      <patternFill patternType="solid">
        <fgColor rgb="FF999999"/>
        <bgColor rgb="FF999999"/>
      </patternFill>
    </fill>
    <fill>
      <patternFill patternType="solid">
        <fgColor rgb="FF026838"/>
        <bgColor rgb="FF026838"/>
      </patternFill>
    </fill>
    <fill>
      <patternFill patternType="solid">
        <fgColor rgb="FF498691"/>
        <bgColor rgb="FF498691"/>
      </patternFill>
    </fill>
    <fill>
      <patternFill patternType="solid">
        <fgColor rgb="FF8508B8"/>
        <bgColor rgb="FF8508B8"/>
      </patternFill>
    </fill>
    <fill>
      <patternFill patternType="solid">
        <fgColor rgb="FFFF7901"/>
        <bgColor rgb="FFFF7901"/>
      </patternFill>
    </fill>
    <fill>
      <patternFill patternType="solid">
        <fgColor rgb="FF004F71"/>
        <bgColor rgb="FF004F71"/>
      </patternFill>
    </fill>
    <fill>
      <patternFill patternType="solid">
        <fgColor rgb="FF05A657"/>
        <bgColor rgb="FF05A657"/>
      </patternFill>
    </fill>
    <fill>
      <patternFill patternType="solid">
        <fgColor rgb="FF00A9F4"/>
        <bgColor rgb="FF00A9F4"/>
      </patternFill>
    </fill>
    <fill>
      <patternFill patternType="solid">
        <fgColor rgb="FFBF9000"/>
        <bgColor rgb="FFBF9000"/>
      </patternFill>
    </fill>
    <fill>
      <patternFill patternType="solid">
        <fgColor rgb="FFFE4420"/>
        <bgColor rgb="FFFE4420"/>
      </patternFill>
    </fill>
    <fill>
      <patternFill patternType="solid">
        <fgColor rgb="FF0290FF"/>
        <bgColor rgb="FF0290FF"/>
      </patternFill>
    </fill>
    <fill>
      <patternFill patternType="solid">
        <fgColor rgb="FF00275B"/>
        <bgColor rgb="FF00275B"/>
      </patternFill>
    </fill>
    <fill>
      <patternFill patternType="solid">
        <fgColor rgb="FFC9DAF8"/>
        <bgColor rgb="FFC9DAF8"/>
      </patternFill>
    </fill>
    <fill>
      <patternFill patternType="solid">
        <fgColor theme="8"/>
        <bgColor theme="8"/>
      </patternFill>
    </fill>
    <fill>
      <patternFill patternType="solid">
        <fgColor rgb="FF7F6000"/>
        <bgColor rgb="FF7F6000"/>
      </patternFill>
    </fill>
  </fills>
  <borders count="3">
    <border/>
    <border>
      <left style="thin">
        <color rgb="FFCCCCCC"/>
      </left>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shrinkToFit="0" vertical="center" wrapText="1"/>
    </xf>
    <xf quotePrefix="1" borderId="0" fillId="0" fontId="1" numFmtId="0" xfId="0" applyAlignment="1" applyFont="1">
      <alignment readingOrder="0"/>
    </xf>
    <xf borderId="1" fillId="2" fontId="3" numFmtId="0" xfId="0" applyAlignment="1" applyBorder="1" applyFill="1" applyFont="1">
      <alignment horizontal="center" readingOrder="0" shrinkToFit="0" vertical="center" wrapText="1"/>
    </xf>
    <xf borderId="1" fillId="2" fontId="4" numFmtId="0" xfId="0" applyAlignment="1" applyBorder="1" applyFill="1" applyFont="1">
      <alignment horizontal="center" readingOrder="0" shrinkToFit="0" vertical="center" wrapText="1"/>
    </xf>
    <xf borderId="0" fillId="3" fontId="5" numFmtId="0" xfId="0" applyAlignment="1" applyFill="1" applyFont="1">
      <alignment shrinkToFit="0" vertical="center" wrapText="1"/>
    </xf>
    <xf borderId="1" fillId="4" fontId="2" numFmtId="164" xfId="0" applyAlignment="1" applyBorder="1" applyFill="1" applyFont="1" applyNumberForma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4" fontId="2" numFmtId="0" xfId="0" applyAlignment="1" applyBorder="1" applyFill="1" applyFont="1">
      <alignment horizontal="center" readingOrder="0" shrinkToFit="0" vertical="center" wrapText="1"/>
    </xf>
    <xf borderId="1" fillId="2" fontId="6" numFmtId="3" xfId="0" applyAlignment="1" applyBorder="1" applyFill="1" applyFont="1" applyNumberFormat="1">
      <alignment horizontal="center" readingOrder="0" shrinkToFit="0" vertical="center" wrapText="1"/>
    </xf>
    <xf borderId="1" fillId="6" fontId="6" numFmtId="3" xfId="0" applyAlignment="1" applyBorder="1" applyFill="1" applyFont="1" applyNumberFormat="1">
      <alignment horizontal="center" readingOrder="0" shrinkToFit="0" vertical="center" wrapText="1"/>
    </xf>
    <xf borderId="1" fillId="3" fontId="7" numFmtId="165" xfId="0" applyAlignment="1" applyBorder="1" applyFill="1" applyFont="1" applyNumberFormat="1">
      <alignment horizontal="center" readingOrder="0" shrinkToFit="0" vertical="center" wrapText="1"/>
    </xf>
    <xf borderId="1" fillId="3" fontId="8" numFmtId="165" xfId="0" applyAlignment="1" applyBorder="1" applyFill="1" applyFont="1" applyNumberFormat="1">
      <alignment horizontal="center" readingOrder="0" shrinkToFit="0" vertical="center" wrapText="1"/>
    </xf>
    <xf borderId="1" fillId="7" fontId="9" numFmtId="165" xfId="0" applyAlignment="1" applyBorder="1" applyFill="1" applyFont="1" applyNumberFormat="1">
      <alignment horizontal="center" readingOrder="0" shrinkToFit="0" vertical="center" wrapText="1"/>
    </xf>
    <xf borderId="1" fillId="3" fontId="10" numFmtId="164" xfId="0" applyAlignment="1" applyBorder="1" applyFill="1" applyFont="1" applyNumberFormat="1">
      <alignment horizontal="center" readingOrder="0" shrinkToFit="0" vertical="center" wrapText="1"/>
    </xf>
    <xf borderId="1" fillId="3" fontId="11" numFmtId="165" xfId="0" applyAlignment="1" applyBorder="1" applyFill="1" applyFont="1" applyNumberFormat="1">
      <alignment horizontal="center" readingOrder="0" shrinkToFit="0" vertical="center" wrapText="1"/>
    </xf>
    <xf borderId="1" fillId="3" fontId="12" numFmtId="3" xfId="0" applyAlignment="1" applyBorder="1" applyFill="1" applyFont="1" applyNumberFormat="1">
      <alignment horizontal="center" readingOrder="0" shrinkToFit="0" vertical="center" wrapText="1"/>
    </xf>
    <xf borderId="1" fillId="3" fontId="8" numFmtId="165" xfId="0" applyAlignment="1" applyBorder="1" applyFill="1" applyFont="1" applyNumberFormat="1">
      <alignment horizontal="left" readingOrder="0" shrinkToFit="0" vertical="center" wrapText="1"/>
    </xf>
    <xf borderId="0" fillId="3" fontId="8" numFmtId="0" xfId="0" applyAlignment="1" applyFill="1" applyFont="1">
      <alignment shrinkToFit="0" vertical="center" wrapText="1"/>
    </xf>
    <xf borderId="1" fillId="3" fontId="11" numFmtId="3" xfId="0" applyAlignment="1" applyBorder="1" applyFill="1" applyFont="1" applyNumberFormat="1">
      <alignment horizontal="center" readingOrder="0" shrinkToFit="0" vertical="center" wrapText="1"/>
    </xf>
    <xf borderId="1" fillId="3" fontId="11" numFmtId="4" xfId="0" applyAlignment="1" applyBorder="1" applyFill="1" applyFont="1" applyNumberFormat="1">
      <alignment horizontal="center" readingOrder="0" shrinkToFit="0" vertical="center" wrapText="1"/>
    </xf>
    <xf borderId="0" fillId="3" fontId="11" numFmtId="165" xfId="0" applyAlignment="1" applyFill="1" applyFont="1" applyNumberFormat="1">
      <alignment horizontal="center" readingOrder="0" shrinkToFit="0" vertical="center" wrapText="1"/>
    </xf>
    <xf borderId="1" fillId="8" fontId="13" numFmtId="3" xfId="0" applyAlignment="1" applyBorder="1" applyFill="1" applyFont="1" applyNumberFormat="1">
      <alignment horizontal="center" readingOrder="0" shrinkToFit="0" vertical="center" wrapText="1"/>
    </xf>
    <xf borderId="1" fillId="3" fontId="14" numFmtId="165" xfId="0" applyAlignment="1" applyBorder="1" applyFill="1" applyFont="1" applyNumberFormat="1">
      <alignment horizontal="center" readingOrder="0" shrinkToFit="0" vertical="center" wrapText="1"/>
    </xf>
    <xf borderId="1" fillId="3" fontId="15" numFmtId="164" xfId="0" applyAlignment="1" applyBorder="1" applyFill="1" applyFont="1" applyNumberFormat="1">
      <alignment horizontal="center" readingOrder="0" shrinkToFit="0" vertical="center" wrapText="1"/>
    </xf>
    <xf borderId="1" fillId="3" fontId="16" numFmtId="0" xfId="0" applyAlignment="1" applyBorder="1" applyFill="1" applyFont="1">
      <alignment horizontal="center" readingOrder="0" shrinkToFit="0" vertical="center" wrapText="1"/>
    </xf>
    <xf borderId="1" fillId="3" fontId="8" numFmtId="165" xfId="0" applyAlignment="1" applyBorder="1" applyFill="1" applyFont="1" applyNumberFormat="1">
      <alignment horizontal="left" readingOrder="0" shrinkToFit="0" vertical="center" wrapText="1"/>
    </xf>
    <xf borderId="1" fillId="9" fontId="6" numFmtId="3" xfId="0" applyAlignment="1" applyBorder="1" applyFill="1" applyFont="1" applyNumberFormat="1">
      <alignment horizontal="center" readingOrder="0" shrinkToFit="0" vertical="center" wrapText="1"/>
    </xf>
    <xf borderId="1" fillId="3" fontId="17" numFmtId="165" xfId="0" applyAlignment="1" applyBorder="1" applyFill="1" applyFont="1" applyNumberFormat="1">
      <alignment horizontal="center" readingOrder="0" shrinkToFit="0" vertical="center" wrapText="1"/>
    </xf>
    <xf borderId="1" fillId="3" fontId="18" numFmtId="165" xfId="0" applyAlignment="1" applyBorder="1" applyFill="1" applyFont="1" applyNumberFormat="1">
      <alignment horizontal="left" readingOrder="0" shrinkToFit="0" vertical="center" wrapText="1"/>
    </xf>
    <xf borderId="1" fillId="10" fontId="6" numFmtId="3" xfId="0" applyAlignment="1" applyBorder="1" applyFill="1" applyFont="1" applyNumberFormat="1">
      <alignment horizontal="center" readingOrder="0" shrinkToFit="0" vertical="center" wrapText="1"/>
    </xf>
    <xf borderId="1" fillId="3" fontId="19" numFmtId="164" xfId="0" applyAlignment="1" applyBorder="1" applyFill="1" applyFont="1" applyNumberFormat="1">
      <alignment horizontal="center" readingOrder="0" shrinkToFit="0" vertical="center" wrapText="1"/>
    </xf>
    <xf borderId="1" fillId="3" fontId="20" numFmtId="165" xfId="0" applyAlignment="1" applyBorder="1" applyFill="1" applyFont="1" applyNumberFormat="1">
      <alignment horizontal="center" readingOrder="0" shrinkToFit="0" vertical="center" wrapText="1"/>
    </xf>
    <xf borderId="1" fillId="2" fontId="9" numFmtId="165" xfId="0" applyAlignment="1" applyBorder="1" applyFill="1" applyFont="1" applyNumberFormat="1">
      <alignment horizontal="center" readingOrder="0" shrinkToFit="0" vertical="center" wrapText="1"/>
    </xf>
    <xf borderId="1" fillId="3" fontId="21" numFmtId="166" xfId="0" applyAlignment="1" applyBorder="1" applyFill="1" applyFont="1" applyNumberFormat="1">
      <alignment horizontal="center" readingOrder="0" shrinkToFit="0" vertical="center" wrapText="1"/>
    </xf>
    <xf borderId="1" fillId="11" fontId="13" numFmtId="3" xfId="0" applyAlignment="1" applyBorder="1" applyFill="1" applyFont="1" applyNumberFormat="1">
      <alignment horizontal="center" readingOrder="0" shrinkToFit="0" vertical="center" wrapText="1"/>
    </xf>
    <xf borderId="1" fillId="3" fontId="8" numFmtId="164" xfId="0" applyAlignment="1" applyBorder="1" applyFill="1" applyFont="1" applyNumberFormat="1">
      <alignment horizontal="center" readingOrder="0" shrinkToFit="0" vertical="center" wrapText="1"/>
    </xf>
    <xf borderId="1" fillId="3" fontId="5" numFmtId="3" xfId="0" applyAlignment="1" applyBorder="1" applyFill="1" applyFont="1" applyNumberFormat="1">
      <alignment horizontal="center" readingOrder="0" shrinkToFit="0" vertical="center" wrapText="1"/>
    </xf>
    <xf borderId="1" fillId="3" fontId="10" numFmtId="165" xfId="0" applyAlignment="1" applyBorder="1" applyFill="1" applyFont="1" applyNumberFormat="1">
      <alignment horizontal="center" readingOrder="0" shrinkToFit="0" vertical="center" wrapText="1"/>
    </xf>
    <xf borderId="1" fillId="12" fontId="6" numFmtId="3" xfId="0" applyAlignment="1" applyBorder="1" applyFill="1" applyFont="1" applyNumberFormat="1">
      <alignment horizontal="center" readingOrder="0" shrinkToFit="0" vertical="center" wrapText="1"/>
    </xf>
    <xf borderId="1" fillId="3" fontId="22" numFmtId="166" xfId="0" applyAlignment="1" applyBorder="1" applyFill="1" applyFont="1" applyNumberFormat="1">
      <alignment horizontal="center" readingOrder="0" shrinkToFit="0" vertical="center" wrapText="1"/>
    </xf>
    <xf borderId="1" fillId="13" fontId="6" numFmtId="3" xfId="0" applyAlignment="1" applyBorder="1" applyFill="1" applyFont="1" applyNumberFormat="1">
      <alignment horizontal="center" readingOrder="0" shrinkToFit="0" vertical="center" wrapText="1"/>
    </xf>
    <xf borderId="1" fillId="3" fontId="5" numFmtId="166" xfId="0" applyAlignment="1" applyBorder="1" applyFill="1" applyFont="1" applyNumberFormat="1">
      <alignment horizontal="center" readingOrder="0" shrinkToFit="0" vertical="center" wrapText="1"/>
    </xf>
    <xf borderId="1" fillId="3" fontId="23" numFmtId="3" xfId="0" applyAlignment="1" applyBorder="1" applyFill="1" applyFont="1" applyNumberFormat="1">
      <alignment horizontal="center" readingOrder="0" shrinkToFit="0" vertical="center" wrapText="1"/>
    </xf>
    <xf borderId="1" fillId="14" fontId="2" numFmtId="3" xfId="0" applyAlignment="1" applyBorder="1" applyFill="1" applyFont="1" applyNumberFormat="1">
      <alignment horizontal="center" readingOrder="0" shrinkToFit="0" vertical="center" wrapText="1"/>
    </xf>
    <xf borderId="1" fillId="15" fontId="24" numFmtId="3" xfId="0" applyAlignment="1" applyBorder="1" applyFill="1" applyFont="1" applyNumberFormat="1">
      <alignment horizontal="center" readingOrder="0" shrinkToFit="0" vertical="center" wrapText="1"/>
    </xf>
    <xf borderId="1" fillId="3" fontId="25" numFmtId="165" xfId="0" applyAlignment="1" applyBorder="1" applyFill="1" applyFont="1" applyNumberFormat="1">
      <alignment horizontal="center" readingOrder="0" shrinkToFit="0" vertical="center" wrapText="1"/>
    </xf>
    <xf borderId="1" fillId="3" fontId="5" numFmtId="4" xfId="0" applyAlignment="1" applyBorder="1" applyFill="1" applyFont="1" applyNumberFormat="1">
      <alignment horizontal="center" readingOrder="0" shrinkToFit="0" vertical="center" wrapText="1"/>
    </xf>
    <xf borderId="1" fillId="16" fontId="6" numFmtId="3" xfId="0" applyAlignment="1" applyBorder="1" applyFill="1" applyFont="1" applyNumberFormat="1">
      <alignment horizontal="center" readingOrder="0" shrinkToFit="0" vertical="center" wrapText="1"/>
    </xf>
    <xf borderId="1" fillId="3" fontId="0" numFmtId="165" xfId="0" applyAlignment="1" applyBorder="1" applyFill="1" applyFont="1" applyNumberFormat="1">
      <alignment horizontal="center" readingOrder="0" shrinkToFit="0" vertical="center" wrapText="1"/>
    </xf>
    <xf borderId="1" fillId="17" fontId="6" numFmtId="3" xfId="0" applyAlignment="1" applyBorder="1" applyFill="1" applyFont="1" applyNumberFormat="1">
      <alignment horizontal="center" readingOrder="0" shrinkToFit="0" vertical="center" wrapText="1"/>
    </xf>
    <xf borderId="1" fillId="18" fontId="6" numFmtId="3" xfId="0" applyAlignment="1" applyBorder="1" applyFill="1" applyFont="1" applyNumberFormat="1">
      <alignment horizontal="center" readingOrder="0" shrinkToFit="0" vertical="center" wrapText="1"/>
    </xf>
    <xf borderId="1" fillId="19" fontId="6" numFmtId="3" xfId="0" applyAlignment="1" applyBorder="1" applyFill="1" applyFont="1" applyNumberFormat="1">
      <alignment horizontal="center" readingOrder="0" shrinkToFit="0" vertical="center" wrapText="1"/>
    </xf>
    <xf borderId="1" fillId="3" fontId="26" numFmtId="165" xfId="0" applyAlignment="1" applyBorder="1" applyFill="1" applyFont="1" applyNumberFormat="1">
      <alignment horizontal="center" readingOrder="0" shrinkToFit="0" vertical="center" wrapText="1"/>
    </xf>
    <xf borderId="1" fillId="20" fontId="8" numFmtId="3" xfId="0" applyAlignment="1" applyBorder="1" applyFill="1" applyFont="1" applyNumberFormat="1">
      <alignment horizontal="center" readingOrder="0" shrinkToFit="0" vertical="center" wrapText="1"/>
    </xf>
    <xf borderId="1" fillId="3" fontId="27" numFmtId="166" xfId="0" applyAlignment="1" applyBorder="1" applyFill="1" applyFont="1" applyNumberFormat="1">
      <alignment horizontal="center" readingOrder="0" shrinkToFit="0" vertical="center" wrapText="1"/>
    </xf>
    <xf borderId="1" fillId="21" fontId="9" numFmtId="165" xfId="0" applyAlignment="1" applyBorder="1" applyFill="1" applyFont="1" applyNumberFormat="1">
      <alignment horizontal="center" readingOrder="0" shrinkToFit="0" vertical="center" wrapText="1"/>
    </xf>
    <xf borderId="1" fillId="3" fontId="28" numFmtId="4" xfId="0" applyAlignment="1" applyBorder="1" applyFill="1" applyFont="1" applyNumberFormat="1">
      <alignment horizontal="center" readingOrder="0" shrinkToFit="0" vertical="center" wrapText="1"/>
    </xf>
    <xf borderId="1" fillId="22" fontId="6" numFmtId="3" xfId="0" applyAlignment="1" applyBorder="1" applyFill="1" applyFont="1" applyNumberFormat="1">
      <alignment horizontal="center" readingOrder="0" shrinkToFit="0" vertical="center" wrapText="1"/>
    </xf>
    <xf borderId="1" fillId="3" fontId="5" numFmtId="0" xfId="0" applyAlignment="1" applyBorder="1" applyFill="1" applyFont="1">
      <alignment horizontal="center" readingOrder="0" shrinkToFit="0" vertical="center" wrapText="1"/>
    </xf>
    <xf borderId="1" fillId="23" fontId="2" numFmtId="3" xfId="0" applyAlignment="1" applyBorder="1" applyFill="1" applyFont="1" applyNumberFormat="1">
      <alignment horizontal="center" readingOrder="0" shrinkToFit="0" vertical="center" wrapText="1"/>
    </xf>
    <xf borderId="1" fillId="3" fontId="29" numFmtId="165" xfId="0" applyAlignment="1" applyBorder="1" applyFill="1" applyFont="1" applyNumberFormat="1">
      <alignment horizontal="center" readingOrder="0" shrinkToFit="0" vertical="center" wrapText="1"/>
    </xf>
    <xf borderId="1" fillId="24" fontId="6" numFmtId="3" xfId="0" applyAlignment="1" applyBorder="1" applyFill="1" applyFont="1" applyNumberFormat="1">
      <alignment horizontal="center" readingOrder="0" shrinkToFit="0" vertical="center" wrapText="1"/>
    </xf>
    <xf borderId="1" fillId="25" fontId="6" numFmtId="3" xfId="0" applyAlignment="1" applyBorder="1" applyFill="1" applyFont="1" applyNumberFormat="1">
      <alignment horizontal="center" readingOrder="0" shrinkToFit="0" vertical="center" wrapText="1"/>
    </xf>
    <xf borderId="1" fillId="3" fontId="30" numFmtId="165" xfId="0" applyAlignment="1" applyBorder="1" applyFill="1" applyFont="1" applyNumberFormat="1">
      <alignment horizontal="center" shrinkToFit="0" vertical="center" wrapText="1"/>
    </xf>
    <xf borderId="1" fillId="3" fontId="8" numFmtId="4" xfId="0" applyAlignment="1" applyBorder="1" applyFill="1" applyFont="1" applyNumberFormat="1">
      <alignment horizontal="center" readingOrder="0" shrinkToFit="0" vertical="center" wrapText="1"/>
    </xf>
    <xf borderId="1" fillId="26" fontId="6" numFmtId="3" xfId="0" applyAlignment="1" applyBorder="1" applyFill="1" applyFont="1" applyNumberFormat="1">
      <alignment horizontal="center" readingOrder="0" shrinkToFit="0" vertical="center" wrapText="1"/>
    </xf>
    <xf borderId="1" fillId="3" fontId="8" numFmtId="165" xfId="0" applyAlignment="1" applyBorder="1" applyFill="1" applyFont="1" applyNumberFormat="1">
      <alignment horizontal="left" readingOrder="0" shrinkToFit="0" vertical="center" wrapText="1"/>
    </xf>
    <xf borderId="1" fillId="27" fontId="6" numFmtId="3" xfId="0" applyAlignment="1" applyBorder="1" applyFill="1" applyFont="1" applyNumberFormat="1">
      <alignment horizontal="center" readingOrder="0" shrinkToFit="0" vertical="center" wrapText="1"/>
    </xf>
    <xf borderId="1" fillId="3" fontId="0" numFmtId="165" xfId="0" applyAlignment="1" applyBorder="1" applyFill="1" applyFont="1" applyNumberFormat="1">
      <alignment horizontal="center" readingOrder="0" shrinkToFit="0" vertical="center" wrapText="1"/>
    </xf>
    <xf borderId="1" fillId="3" fontId="31" numFmtId="167" xfId="0" applyAlignment="1" applyBorder="1" applyFill="1" applyFont="1" applyNumberFormat="1">
      <alignment horizontal="center" readingOrder="0" shrinkToFit="0" vertical="center" wrapText="1"/>
    </xf>
    <xf borderId="1" fillId="28" fontId="6" numFmtId="3" xfId="0" applyAlignment="1" applyBorder="1" applyFill="1" applyFont="1" applyNumberFormat="1">
      <alignment horizontal="center" readingOrder="0" shrinkToFit="0" vertical="center" wrapText="1"/>
    </xf>
    <xf borderId="1" fillId="3" fontId="32" numFmtId="9" xfId="0" applyAlignment="1" applyBorder="1" applyFill="1" applyFont="1" applyNumberFormat="1">
      <alignment horizontal="center" readingOrder="0" shrinkToFit="0" vertical="center" wrapText="1"/>
    </xf>
    <xf borderId="1" fillId="29" fontId="9" numFmtId="165" xfId="0" applyAlignment="1" applyBorder="1" applyFill="1" applyFont="1" applyNumberFormat="1">
      <alignment horizontal="center" readingOrder="0" shrinkToFit="0" vertical="center" wrapText="1"/>
    </xf>
    <xf borderId="1" fillId="30" fontId="6" numFmtId="3" xfId="0" applyAlignment="1" applyBorder="1" applyFill="1" applyFont="1" applyNumberFormat="1">
      <alignment horizontal="center" readingOrder="0" shrinkToFit="0" vertical="center" wrapText="1"/>
    </xf>
    <xf borderId="1" fillId="31" fontId="6" numFmtId="3" xfId="0" applyAlignment="1" applyBorder="1" applyFill="1" applyFont="1" applyNumberFormat="1">
      <alignment horizontal="center" readingOrder="0" shrinkToFit="0" vertical="center" wrapText="1"/>
    </xf>
    <xf borderId="1" fillId="3" fontId="33" numFmtId="4" xfId="0" applyAlignment="1" applyBorder="1" applyFill="1" applyFont="1" applyNumberFormat="1">
      <alignment horizontal="center" readingOrder="0" shrinkToFit="0" vertical="center" wrapText="1"/>
    </xf>
    <xf borderId="1" fillId="3" fontId="30" numFmtId="4" xfId="0" applyAlignment="1" applyBorder="1" applyFill="1" applyFont="1" applyNumberFormat="1">
      <alignment horizontal="center" shrinkToFit="0" vertical="center" wrapText="1"/>
    </xf>
    <xf borderId="1" fillId="32" fontId="6" numFmtId="3" xfId="0" applyAlignment="1" applyBorder="1" applyFill="1" applyFont="1" applyNumberFormat="1">
      <alignment horizontal="center" readingOrder="0" shrinkToFit="0" vertical="center" wrapText="1"/>
    </xf>
    <xf borderId="1" fillId="3" fontId="34" numFmtId="4" xfId="0" applyAlignment="1" applyBorder="1" applyFill="1" applyFont="1" applyNumberFormat="1">
      <alignment horizontal="center" readingOrder="0" shrinkToFit="0" vertical="center" wrapText="1"/>
    </xf>
    <xf borderId="0" fillId="3" fontId="11" numFmtId="3" xfId="0" applyAlignment="1" applyFill="1" applyFont="1" applyNumberFormat="1">
      <alignment horizontal="center" readingOrder="0" shrinkToFit="0" vertical="center" wrapText="1"/>
    </xf>
    <xf borderId="0" fillId="3" fontId="5" numFmtId="0" xfId="0" applyAlignment="1" applyFill="1" applyFont="1">
      <alignment horizontal="center" shrinkToFit="0" vertical="center" wrapText="1"/>
    </xf>
    <xf borderId="0" fillId="3" fontId="5" numFmtId="0" xfId="0" applyAlignment="1" applyFill="1" applyFont="1">
      <alignment readingOrder="0" shrinkToFit="0" vertical="center" wrapText="1"/>
    </xf>
    <xf borderId="0" fillId="0" fontId="1" numFmtId="0" xfId="0" applyAlignment="1" applyFont="1">
      <alignment vertical="center"/>
    </xf>
    <xf borderId="0" fillId="3" fontId="8" numFmtId="0" xfId="0" applyAlignment="1" applyFill="1" applyFont="1">
      <alignment horizontal="right" readingOrder="0" shrinkToFit="0" vertical="center" wrapText="1"/>
    </xf>
    <xf borderId="2" fillId="8" fontId="11" numFmtId="165" xfId="0" applyAlignment="1" applyBorder="1" applyFill="1" applyFont="1" applyNumberFormat="1">
      <alignment horizontal="center" readingOrder="0" shrinkToFit="0" vertical="center" wrapText="1"/>
    </xf>
    <xf borderId="0" fillId="3" fontId="35" numFmtId="0" xfId="0" applyAlignment="1" applyFill="1" applyFont="1">
      <alignment horizontal="right" readingOrder="0" shrinkToFit="0" vertical="center" wrapText="1"/>
    </xf>
    <xf borderId="2" fillId="33" fontId="11" numFmtId="165" xfId="0" applyAlignment="1" applyBorder="1" applyFill="1" applyFont="1" applyNumberFormat="1">
      <alignment horizontal="center" readingOrder="0" shrinkToFit="0" vertical="center" wrapText="1"/>
    </xf>
    <xf borderId="2" fillId="34" fontId="6" numFmtId="165" xfId="0" applyAlignment="1" applyBorder="1" applyFill="1" applyFont="1" applyNumberFormat="1">
      <alignment horizontal="center" readingOrder="0" shrinkToFit="0" vertical="center" wrapText="1"/>
    </xf>
    <xf borderId="2" fillId="34" fontId="6" numFmtId="9" xfId="0" applyAlignment="1" applyBorder="1" applyFill="1" applyFont="1" applyNumberFormat="1">
      <alignment horizontal="center" readingOrder="0" shrinkToFit="0" vertical="center" wrapText="1"/>
    </xf>
    <xf borderId="0" fillId="0" fontId="36" numFmtId="0" xfId="0" applyAlignment="1" applyFont="1">
      <alignment readingOrder="0" vertical="center"/>
    </xf>
    <xf borderId="0" fillId="0" fontId="37" numFmtId="0" xfId="0" applyAlignment="1" applyFont="1">
      <alignment readingOrder="0" vertical="center"/>
    </xf>
    <xf borderId="2" fillId="17" fontId="6" numFmtId="165" xfId="0" applyAlignment="1" applyBorder="1" applyFill="1" applyFont="1" applyNumberFormat="1">
      <alignment horizontal="center" readingOrder="0" shrinkToFit="0" vertical="center" wrapText="1"/>
    </xf>
    <xf borderId="2" fillId="17" fontId="6" numFmtId="9" xfId="0" applyAlignment="1" applyBorder="1" applyFill="1" applyFont="1" applyNumberFormat="1">
      <alignment horizontal="center" readingOrder="0" shrinkToFit="0" vertical="center" wrapText="1"/>
    </xf>
    <xf borderId="0" fillId="0" fontId="38" numFmtId="0" xfId="0" applyAlignment="1" applyFont="1">
      <alignment readingOrder="0" vertical="center"/>
    </xf>
    <xf borderId="2" fillId="13" fontId="6" numFmtId="165" xfId="0" applyAlignment="1" applyBorder="1" applyFill="1" applyFont="1" applyNumberFormat="1">
      <alignment horizontal="center" readingOrder="0" shrinkToFit="0" vertical="center" wrapText="1"/>
    </xf>
    <xf borderId="0" fillId="0" fontId="39" numFmtId="0" xfId="0" applyAlignment="1" applyFont="1">
      <alignment readingOrder="0" vertical="center"/>
    </xf>
    <xf borderId="0" fillId="0" fontId="40" numFmtId="0" xfId="0" applyAlignment="1" applyFont="1">
      <alignment readingOrder="0" vertical="center"/>
    </xf>
    <xf borderId="2" fillId="4" fontId="6" numFmtId="165" xfId="0" applyAlignment="1" applyBorder="1" applyFill="1" applyFont="1" applyNumberFormat="1">
      <alignment horizontal="center" readingOrder="0" shrinkToFit="0" vertical="center" wrapText="1"/>
    </xf>
    <xf borderId="2" fillId="2" fontId="6" numFmtId="165" xfId="0" applyAlignment="1" applyBorder="1" applyFill="1" applyFont="1" applyNumberFormat="1">
      <alignment horizontal="center" readingOrder="0" shrinkToFit="0" vertical="center" wrapText="1"/>
    </xf>
    <xf borderId="0" fillId="35" fontId="6" numFmtId="165" xfId="0" applyAlignment="1" applyFill="1" applyFont="1" applyNumberFormat="1">
      <alignment horizontal="center" readingOrder="0" shrinkToFit="0" vertical="center" wrapText="1"/>
    </xf>
    <xf borderId="2" fillId="35" fontId="6" numFmtId="9" xfId="0" applyAlignment="1" applyBorder="1" applyFill="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esfera.com.vc/" TargetMode="External"/><Relationship Id="rId84" Type="http://schemas.openxmlformats.org/officeDocument/2006/relationships/hyperlink" Target="https://rappicard.com.br/" TargetMode="External"/><Relationship Id="rId83" Type="http://schemas.openxmlformats.org/officeDocument/2006/relationships/hyperlink" Target="https://www.itau.com.br/cartoes/escolha/formulario/itaucard-click-visa-platinum-com-pontos.html" TargetMode="External"/><Relationship Id="rId42" Type="http://schemas.openxmlformats.org/officeDocument/2006/relationships/hyperlink" Target="https://www.livelo.com.br/ganhe-pontos-com-cartao-de-credito" TargetMode="External"/><Relationship Id="rId86" Type="http://schemas.openxmlformats.org/officeDocument/2006/relationships/hyperlink" Target="https://www.c6bank.com.br/programa-atomos/" TargetMode="External"/><Relationship Id="rId41" Type="http://schemas.openxmlformats.org/officeDocument/2006/relationships/hyperlink" Target="https://www.santander.com.br/banco/unique-black" TargetMode="External"/><Relationship Id="rId85" Type="http://schemas.openxmlformats.org/officeDocument/2006/relationships/hyperlink" Target="https://rappicard.com.br/" TargetMode="External"/><Relationship Id="rId44" Type="http://schemas.openxmlformats.org/officeDocument/2006/relationships/hyperlink" Target="https://www.elo.com.br/produtos/pessoais/banese-card-elo-nanquim" TargetMode="External"/><Relationship Id="rId88" Type="http://schemas.openxmlformats.org/officeDocument/2006/relationships/hyperlink" Target="https://www.livelo.com.br/ganhe-pontos-digio" TargetMode="External"/><Relationship Id="rId43" Type="http://schemas.openxmlformats.org/officeDocument/2006/relationships/hyperlink" Target="https://www.banesecard.com.br/elo-nanquim" TargetMode="External"/><Relationship Id="rId87" Type="http://schemas.openxmlformats.org/officeDocument/2006/relationships/hyperlink" Target="https://www.livelo.com.br/ganhe-pontos-com-cartao-de-credito" TargetMode="External"/><Relationship Id="rId46" Type="http://schemas.openxmlformats.org/officeDocument/2006/relationships/hyperlink" Target="https://www.btgmais.com/cartao-de-credito/cartao-black/" TargetMode="External"/><Relationship Id="rId45" Type="http://schemas.openxmlformats.org/officeDocument/2006/relationships/hyperlink" Target="https://lps.xpi.com.br/cartao-de-credito/" TargetMode="External"/><Relationship Id="rId89" Type="http://schemas.openxmlformats.org/officeDocument/2006/relationships/hyperlink" Target="https://www.smiles.com.br/indicar-amigos/indicado?icode=1-63447777146" TargetMode="External"/><Relationship Id="rId80" Type="http://schemas.openxmlformats.org/officeDocument/2006/relationships/hyperlink" Target="https://www.livelo.com.br/ganhe-pontos-com-cartao-de-credito" TargetMode="External"/><Relationship Id="rId82" Type="http://schemas.openxmlformats.org/officeDocument/2006/relationships/hyperlink" Target="https://www.iupp.com.br/" TargetMode="External"/><Relationship Id="rId81" Type="http://schemas.openxmlformats.org/officeDocument/2006/relationships/hyperlink" Target="https://bancobari.com.br/conta-digital/cartao-bari-elo-grafite" TargetMode="External"/><Relationship Id="rId1" Type="http://schemas.openxmlformats.org/officeDocument/2006/relationships/comments" Target="../comments1.xml"/><Relationship Id="rId2" Type="http://schemas.openxmlformats.org/officeDocument/2006/relationships/hyperlink" Target="https://banco.bradesco/cartoes/thecenturion/" TargetMode="External"/><Relationship Id="rId3" Type="http://schemas.openxmlformats.org/officeDocument/2006/relationships/hyperlink" Target="https://www.revolut.com/pt-BR/legal/RevPoints/" TargetMode="External"/><Relationship Id="rId4" Type="http://schemas.openxmlformats.org/officeDocument/2006/relationships/hyperlink" Target="https://www.revolut.com/pt-BR/cards/" TargetMode="External"/><Relationship Id="rId9" Type="http://schemas.openxmlformats.org/officeDocument/2006/relationships/hyperlink" Target="https://www.caixa.gov.br/voce/cartoes/credito/icone/Paginas/default.aspx" TargetMode="External"/><Relationship Id="rId48" Type="http://schemas.openxmlformats.org/officeDocument/2006/relationships/hyperlink" Target="https://nubank.com.br/ultravioleta/cartao-black" TargetMode="External"/><Relationship Id="rId47" Type="http://schemas.openxmlformats.org/officeDocument/2006/relationships/hyperlink" Target="https://www.btgmais.com/wp-content/uploads/2021/11/Tabela_Cartoes-Mensalidades_Isencoes.pdf?x68511" TargetMode="External"/><Relationship Id="rId49" Type="http://schemas.openxmlformats.org/officeDocument/2006/relationships/hyperlink" Target="https://www.shopcoopera.com.br/voos" TargetMode="External"/><Relationship Id="rId5" Type="http://schemas.openxmlformats.org/officeDocument/2006/relationships/hyperlink" Target="https://www.aa.com/i18n/aadvantage-program/aadvantage-program.jsp?locale=pt_BR&amp;anchorLocation=DirectURL&amp;title=milhas" TargetMode="External"/><Relationship Id="rId6" Type="http://schemas.openxmlformats.org/officeDocument/2006/relationships/hyperlink" Target="https://www.santander.com.br/cartao-credito-santander/aadvantage-black" TargetMode="External"/><Relationship Id="rId7" Type="http://schemas.openxmlformats.org/officeDocument/2006/relationships/hyperlink" Target="https://exploreamerican.com/newaadvantage/br/" TargetMode="External"/><Relationship Id="rId8" Type="http://schemas.openxmlformats.org/officeDocument/2006/relationships/hyperlink" Target="https://uaucaixa.com.br/" TargetMode="External"/><Relationship Id="rId73" Type="http://schemas.openxmlformats.org/officeDocument/2006/relationships/hyperlink" Target="https://www.livelo.com.br/ganhe-pontos-com-cartao-de-credito" TargetMode="External"/><Relationship Id="rId72" Type="http://schemas.openxmlformats.org/officeDocument/2006/relationships/hyperlink" Target="https://cartoes.itau.com.br/cartoes/144/portfolio/?s_sid=6&amp;s_agid=118273616049&amp;s_aid=487934340453&amp;s_tgtid=aud-1256140998479:kwd-513304768727&amp;cpg_s=slice16&amp;s_cid=mpg%7Cgog%7Cglp%7Ccartoes-itaucard%7Cccr%7C1%7C0%7C118273616049_aud-1256140998479:kwd-513304768727_487934340453%7Ctudoazul_10-desconto-passagens%7Crv&amp;utm_source=google&amp;utm_medium=paidsearch&amp;utm_content=tudoazul_10-desconto-passagens&amp;gclid=CjwKCAjwzruGBhBAEiwAUqMR8DOrKyvgRHaRODCqSZJNUBAyAqaNH0y9axNTuQoW3WCS8v27fuWqsBoC1SQQAvD_BwE" TargetMode="External"/><Relationship Id="rId31" Type="http://schemas.openxmlformats.org/officeDocument/2006/relationships/hyperlink" Target="https://www.c6bank.com.br/programa-atomos/" TargetMode="External"/><Relationship Id="rId75" Type="http://schemas.openxmlformats.org/officeDocument/2006/relationships/hyperlink" Target="https://nubank.com.br/croma" TargetMode="External"/><Relationship Id="rId30" Type="http://schemas.openxmlformats.org/officeDocument/2006/relationships/hyperlink" Target="https://banescard.com.br/" TargetMode="External"/><Relationship Id="rId74" Type="http://schemas.openxmlformats.org/officeDocument/2006/relationships/hyperlink" Target="https://banco.bradesco/html/classic/produtos-servicos/cartoes/meu-cartao/bradesco-amex-the-platinum/meu-cartao.shtm" TargetMode="External"/><Relationship Id="rId33" Type="http://schemas.openxmlformats.org/officeDocument/2006/relationships/hyperlink" Target="https://www.c6bank.com.br/programa-atomos/" TargetMode="External"/><Relationship Id="rId77" Type="http://schemas.openxmlformats.org/officeDocument/2006/relationships/hyperlink" Target="https://www.livelo.com.br/ganhe-pontos-com-cartao-de-credito" TargetMode="External"/><Relationship Id="rId32" Type="http://schemas.openxmlformats.org/officeDocument/2006/relationships/hyperlink" Target="https://www.c6bank.com.br/cartao-c6-carbon-mastercard-black/" TargetMode="External"/><Relationship Id="rId76" Type="http://schemas.openxmlformats.org/officeDocument/2006/relationships/hyperlink" Target="https://cartao.buscape.com.br/bpan-credit-card-lp/buscape" TargetMode="External"/><Relationship Id="rId35" Type="http://schemas.openxmlformats.org/officeDocument/2006/relationships/hyperlink" Target="https://uaucaixa.com.br/" TargetMode="External"/><Relationship Id="rId79" Type="http://schemas.openxmlformats.org/officeDocument/2006/relationships/hyperlink" Target="https://rappicard.com.br/" TargetMode="External"/><Relationship Id="rId34" Type="http://schemas.openxmlformats.org/officeDocument/2006/relationships/hyperlink" Target="https://www.c6bank.com.br/cartao-de-credito" TargetMode="External"/><Relationship Id="rId78" Type="http://schemas.openxmlformats.org/officeDocument/2006/relationships/hyperlink" Target="https://rappicard.com.br/" TargetMode="External"/><Relationship Id="rId71" Type="http://schemas.openxmlformats.org/officeDocument/2006/relationships/hyperlink" Target="https://www.voeazul.com.br/br/pt/programa-fidelidade" TargetMode="External"/><Relationship Id="rId70" Type="http://schemas.openxmlformats.org/officeDocument/2006/relationships/hyperlink" Target="https://www.c6bank.com.br/programa-atomos/" TargetMode="External"/><Relationship Id="rId37" Type="http://schemas.openxmlformats.org/officeDocument/2006/relationships/hyperlink" Target="https://www.c6bank.com.br/programa-atomos/" TargetMode="External"/><Relationship Id="rId36" Type="http://schemas.openxmlformats.org/officeDocument/2006/relationships/hyperlink" Target="https://www.caixa.gov.br/voce/cartoes/credito/elodiners/Paginas/default.aspx" TargetMode="External"/><Relationship Id="rId39" Type="http://schemas.openxmlformats.org/officeDocument/2006/relationships/hyperlink" Target="https://www.livelo.com.br/ganhe-pontos-com-cartao-de-credito" TargetMode="External"/><Relationship Id="rId38" Type="http://schemas.openxmlformats.org/officeDocument/2006/relationships/hyperlink" Target="https://www.c6bank.com.br/blog/cartao-c6-platinum-conheca-os-beneficios" TargetMode="External"/><Relationship Id="rId62" Type="http://schemas.openxmlformats.org/officeDocument/2006/relationships/hyperlink" Target="https://tarifas-taxas.picpay.com/" TargetMode="External"/><Relationship Id="rId61" Type="http://schemas.openxmlformats.org/officeDocument/2006/relationships/hyperlink" Target="https://picpay.com/cartao-de-credito" TargetMode="External"/><Relationship Id="rId20" Type="http://schemas.openxmlformats.org/officeDocument/2006/relationships/hyperlink" Target="https://banco.bradesco/cartoes/aeternum/" TargetMode="External"/><Relationship Id="rId64" Type="http://schemas.openxmlformats.org/officeDocument/2006/relationships/hyperlink" Target="https://inter.co/pra-voce/duo-gourmet/" TargetMode="External"/><Relationship Id="rId63" Type="http://schemas.openxmlformats.org/officeDocument/2006/relationships/hyperlink" Target="https://inter.co/pra-voce/cartoes/programa-de-pontos/" TargetMode="External"/><Relationship Id="rId22" Type="http://schemas.openxmlformats.org/officeDocument/2006/relationships/hyperlink" Target="https://www.itau.com.br/personnalite/cartoes/theone" TargetMode="External"/><Relationship Id="rId66" Type="http://schemas.openxmlformats.org/officeDocument/2006/relationships/hyperlink" Target="https://www.itau.com.br/cartoes/escolha/formulario/latam-pass-itaucard-mastercard-platinum.html" TargetMode="External"/><Relationship Id="rId21" Type="http://schemas.openxmlformats.org/officeDocument/2006/relationships/hyperlink" Target="https://www.itau.com.br/personnalite/pontos-e-cashback" TargetMode="External"/><Relationship Id="rId65" Type="http://schemas.openxmlformats.org/officeDocument/2006/relationships/hyperlink" Target="https://www.pontosmultiplus.com.br/home" TargetMode="External"/><Relationship Id="rId24" Type="http://schemas.openxmlformats.org/officeDocument/2006/relationships/hyperlink" Target="https://curtai.com.br/home" TargetMode="External"/><Relationship Id="rId68" Type="http://schemas.openxmlformats.org/officeDocument/2006/relationships/hyperlink" Target="https://www.meliuz.com.br/cartao-de-credito" TargetMode="External"/><Relationship Id="rId23" Type="http://schemas.openxmlformats.org/officeDocument/2006/relationships/hyperlink" Target="https://www.sicredi.com.br/site/cartoes/cartao-sicredi-visa-infinite/" TargetMode="External"/><Relationship Id="rId67" Type="http://schemas.openxmlformats.org/officeDocument/2006/relationships/hyperlink" Target="https://www.meliuz.com.br/cartao" TargetMode="External"/><Relationship Id="rId60" Type="http://schemas.openxmlformats.org/officeDocument/2006/relationships/hyperlink" Target="https://www.uniprime.com.br/singular/uniprime-ouro/produto/cartao-mastercard-black-pf" TargetMode="External"/><Relationship Id="rId26" Type="http://schemas.openxmlformats.org/officeDocument/2006/relationships/hyperlink" Target="https://www.esfera.com.vc/" TargetMode="External"/><Relationship Id="rId25" Type="http://schemas.openxmlformats.org/officeDocument/2006/relationships/hyperlink" Target="https://dux.brbcard.com.br/" TargetMode="External"/><Relationship Id="rId69" Type="http://schemas.openxmlformats.org/officeDocument/2006/relationships/hyperlink" Target="https://www.meliuz.com.br/cartao-de-credito" TargetMode="External"/><Relationship Id="rId28" Type="http://schemas.openxmlformats.org/officeDocument/2006/relationships/hyperlink" Target="https://www.unicred.com.br/solucoes/impar" TargetMode="External"/><Relationship Id="rId27" Type="http://schemas.openxmlformats.org/officeDocument/2006/relationships/hyperlink" Target="https://www.santander.com.br/cartao-credito-santander/unlimited-black" TargetMode="External"/><Relationship Id="rId29" Type="http://schemas.openxmlformats.org/officeDocument/2006/relationships/hyperlink" Target="https://www.banestesfidelidade.com.br/Banescard/Usuario/LoginBanescard" TargetMode="External"/><Relationship Id="rId51" Type="http://schemas.openxmlformats.org/officeDocument/2006/relationships/hyperlink" Target="https://www.unicred.com.br/solucoes/cartoes?modal=visa_visainfinite" TargetMode="External"/><Relationship Id="rId50" Type="http://schemas.openxmlformats.org/officeDocument/2006/relationships/hyperlink" Target="https://www.sicoob.com.br/web/sicoob/mastercard-black-pf" TargetMode="External"/><Relationship Id="rId53" Type="http://schemas.openxmlformats.org/officeDocument/2006/relationships/hyperlink" Target="https://www.c6bank.com.br/cartao-black" TargetMode="External"/><Relationship Id="rId52" Type="http://schemas.openxmlformats.org/officeDocument/2006/relationships/hyperlink" Target="https://www.c6bank.com.br/programa-atomos/" TargetMode="External"/><Relationship Id="rId11" Type="http://schemas.openxmlformats.org/officeDocument/2006/relationships/hyperlink" Target="https://www.c6bank.com.br/c6-graphene/" TargetMode="External"/><Relationship Id="rId55" Type="http://schemas.openxmlformats.org/officeDocument/2006/relationships/hyperlink" Target="https://terminal.btgpactual.com/" TargetMode="External"/><Relationship Id="rId10" Type="http://schemas.openxmlformats.org/officeDocument/2006/relationships/hyperlink" Target="https://www.c6bank.com.br/programa-atomos/" TargetMode="External"/><Relationship Id="rId54" Type="http://schemas.openxmlformats.org/officeDocument/2006/relationships/hyperlink" Target="https://banking.btgpactual.com/cartao-de-credito/cartao-ultrablue" TargetMode="External"/><Relationship Id="rId13" Type="http://schemas.openxmlformats.org/officeDocument/2006/relationships/hyperlink" Target="https://www.bb.com.br/site/private/cartoes/altus/" TargetMode="External"/><Relationship Id="rId57" Type="http://schemas.openxmlformats.org/officeDocument/2006/relationships/hyperlink" Target="https://www.c6bank.com.br/programa-atomos/" TargetMode="External"/><Relationship Id="rId12" Type="http://schemas.openxmlformats.org/officeDocument/2006/relationships/hyperlink" Target="https://www.livelo.com.br/ganhe-pontos-com-cartao-de-credito" TargetMode="External"/><Relationship Id="rId56" Type="http://schemas.openxmlformats.org/officeDocument/2006/relationships/hyperlink" Target="https://inter.co/pra-voce/cartoes/programa-de-pontos/" TargetMode="External"/><Relationship Id="rId91" Type="http://schemas.openxmlformats.org/officeDocument/2006/relationships/drawing" Target="../drawings/drawing1.xml"/><Relationship Id="rId90" Type="http://schemas.openxmlformats.org/officeDocument/2006/relationships/hyperlink" Target="https://bit.ly/milhas-azul-gratis" TargetMode="External"/><Relationship Id="rId92" Type="http://schemas.openxmlformats.org/officeDocument/2006/relationships/vmlDrawing" Target="../drawings/vmlDrawing1.vml"/><Relationship Id="rId15" Type="http://schemas.openxmlformats.org/officeDocument/2006/relationships/hyperlink" Target="https://www.revolut.com/pt-BR/legal/RevPoints/" TargetMode="External"/><Relationship Id="rId59" Type="http://schemas.openxmlformats.org/officeDocument/2006/relationships/hyperlink" Target="https://cartoes.itau.com.br/cartoes/126/portfolio/" TargetMode="External"/><Relationship Id="rId14" Type="http://schemas.openxmlformats.org/officeDocument/2006/relationships/hyperlink" Target="https://private.xpi.com.br/xp-visa-infinite-privilege/" TargetMode="External"/><Relationship Id="rId58" Type="http://schemas.openxmlformats.org/officeDocument/2006/relationships/hyperlink" Target="https://www.pontosmultiplus.com.br/home" TargetMode="External"/><Relationship Id="rId17" Type="http://schemas.openxmlformats.org/officeDocument/2006/relationships/hyperlink" Target="https://www.shopcoopera.com.br/voos" TargetMode="External"/><Relationship Id="rId16" Type="http://schemas.openxmlformats.org/officeDocument/2006/relationships/hyperlink" Target="https://www.revolut.com/pt-BR/cards/" TargetMode="External"/><Relationship Id="rId19" Type="http://schemas.openxmlformats.org/officeDocument/2006/relationships/hyperlink" Target="https://www.livelo.com.br/ganhe-pontos-com-cartao-de-credito" TargetMode="External"/><Relationship Id="rId18" Type="http://schemas.openxmlformats.org/officeDocument/2006/relationships/hyperlink" Target="https://www.portoplus.com.b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9.25"/>
    <col customWidth="1" min="2" max="2" width="14.75"/>
    <col customWidth="1" min="3" max="3" width="14.25"/>
    <col customWidth="1" min="4" max="4" width="13.5"/>
    <col customWidth="1" min="5" max="6" width="15.0"/>
    <col customWidth="1" min="7" max="7" width="14.25"/>
    <col customWidth="1" min="8" max="8" width="15.13"/>
    <col customWidth="1" min="9" max="9" width="12.0"/>
    <col customWidth="1" min="10" max="10" width="16.75"/>
    <col customWidth="1" min="11" max="11" width="45.63"/>
    <col customWidth="1" min="12" max="12" width="3.25"/>
    <col customWidth="1" hidden="1" min="13" max="22" width="12.38"/>
    <col customWidth="1" hidden="1" min="23" max="23" width="2.88"/>
    <col customWidth="1" min="24" max="24" width="13.75"/>
    <col customWidth="1" min="25" max="26" width="13.38"/>
    <col customWidth="1" min="27" max="27" width="17.25"/>
    <col customWidth="1" min="28" max="28" width="16.25"/>
    <col customWidth="1" min="29" max="29" width="14.25"/>
  </cols>
  <sheetData>
    <row r="1" ht="45.75" customHeight="1">
      <c r="A1" s="2" t="s">
        <v>1</v>
      </c>
      <c r="B1" s="4" t="s">
        <v>9</v>
      </c>
      <c r="C1" s="2" t="s">
        <v>12</v>
      </c>
      <c r="D1" s="2" t="s">
        <v>14</v>
      </c>
      <c r="E1" s="5" t="s">
        <v>17</v>
      </c>
      <c r="F1" s="2" t="s">
        <v>21</v>
      </c>
      <c r="G1" s="2" t="s">
        <v>25</v>
      </c>
      <c r="H1" s="2" t="s">
        <v>27</v>
      </c>
      <c r="I1" s="2" t="s">
        <v>28</v>
      </c>
      <c r="J1" s="2" t="s">
        <v>30</v>
      </c>
      <c r="K1" s="2" t="s">
        <v>31</v>
      </c>
      <c r="L1" s="6"/>
      <c r="M1" s="7">
        <v>1000.0</v>
      </c>
      <c r="N1" s="7">
        <v>2000.0</v>
      </c>
      <c r="O1" s="7">
        <v>3000.0</v>
      </c>
      <c r="P1" s="7">
        <v>4000.0</v>
      </c>
      <c r="Q1" s="7">
        <v>5000.0</v>
      </c>
      <c r="R1" s="7">
        <v>6000.0</v>
      </c>
      <c r="S1" s="7">
        <v>7000.0</v>
      </c>
      <c r="T1" s="7">
        <v>8000.0</v>
      </c>
      <c r="U1" s="7">
        <v>9000.0</v>
      </c>
      <c r="V1" s="7">
        <v>10000.0</v>
      </c>
      <c r="W1" s="6"/>
      <c r="X1" s="8" t="s">
        <v>32</v>
      </c>
      <c r="Y1" s="9" t="s">
        <v>33</v>
      </c>
      <c r="Z1" s="9" t="s">
        <v>34</v>
      </c>
      <c r="AA1" s="9" t="s">
        <v>35</v>
      </c>
      <c r="AB1" s="8" t="s">
        <v>36</v>
      </c>
      <c r="AC1" s="10" t="s">
        <v>37</v>
      </c>
    </row>
    <row r="2" ht="32.25" customHeight="1">
      <c r="A2" s="11" t="s">
        <v>38</v>
      </c>
      <c r="B2" s="12" t="s">
        <v>39</v>
      </c>
      <c r="C2" s="13" t="s">
        <v>40</v>
      </c>
      <c r="D2" s="14" t="s">
        <v>41</v>
      </c>
      <c r="E2" s="13" t="s">
        <v>42</v>
      </c>
      <c r="F2" s="15" t="s">
        <v>43</v>
      </c>
      <c r="G2" s="16">
        <v>2083.0</v>
      </c>
      <c r="H2" s="16">
        <v>18000.0</v>
      </c>
      <c r="I2" s="13" t="s">
        <v>44</v>
      </c>
      <c r="J2" s="17">
        <v>5.0</v>
      </c>
      <c r="K2" s="18" t="s">
        <v>45</v>
      </c>
      <c r="L2" s="19"/>
      <c r="M2" s="20">
        <f t="shared" ref="M2:V2" si="1">(M$1/$E$55)*$J2</f>
        <v>956.6265521</v>
      </c>
      <c r="N2" s="20">
        <f t="shared" si="1"/>
        <v>1913.253104</v>
      </c>
      <c r="O2" s="20">
        <f t="shared" si="1"/>
        <v>2869.879656</v>
      </c>
      <c r="P2" s="20">
        <f t="shared" si="1"/>
        <v>3826.506209</v>
      </c>
      <c r="Q2" s="20">
        <f t="shared" si="1"/>
        <v>4783.132761</v>
      </c>
      <c r="R2" s="20">
        <f t="shared" si="1"/>
        <v>5739.759313</v>
      </c>
      <c r="S2" s="20">
        <f t="shared" si="1"/>
        <v>6696.385865</v>
      </c>
      <c r="T2" s="20">
        <f t="shared" si="1"/>
        <v>7653.012417</v>
      </c>
      <c r="U2" s="20">
        <f t="shared" si="1"/>
        <v>8609.638969</v>
      </c>
      <c r="V2" s="20">
        <f t="shared" si="1"/>
        <v>9566.265521</v>
      </c>
      <c r="W2" s="19"/>
      <c r="X2" s="20">
        <f>((($E$56*12)/$E$55)*J2)+300000</f>
        <v>644385.5588</v>
      </c>
      <c r="Y2" s="21" t="s">
        <v>46</v>
      </c>
      <c r="Z2" s="21">
        <f>X2/1000</f>
        <v>644.3855588</v>
      </c>
      <c r="AA2" s="16">
        <f t="shared" ref="AA2:AA3" si="2">(X2/1000)*$E$62</f>
        <v>38289.3899</v>
      </c>
      <c r="AB2" s="16">
        <f t="shared" ref="AB2:AB37" si="3">AA2-H2-AC2</f>
        <v>20289.3899</v>
      </c>
      <c r="AC2" s="22"/>
    </row>
    <row r="3" ht="32.25" customHeight="1">
      <c r="A3" s="23" t="s">
        <v>47</v>
      </c>
      <c r="B3" s="24" t="s">
        <v>48</v>
      </c>
      <c r="C3" s="13" t="s">
        <v>49</v>
      </c>
      <c r="D3" s="14" t="s">
        <v>50</v>
      </c>
      <c r="E3" s="13" t="s">
        <v>42</v>
      </c>
      <c r="F3" s="25" t="s">
        <v>51</v>
      </c>
      <c r="G3" s="16">
        <f>IF($E$56&gt;=30000, 0, 249.99)</f>
        <v>0</v>
      </c>
      <c r="H3" s="16">
        <f t="shared" ref="H3:H15" si="4">G3*12</f>
        <v>0</v>
      </c>
      <c r="I3" s="13" t="s">
        <v>44</v>
      </c>
      <c r="J3" s="26">
        <v>3.0</v>
      </c>
      <c r="K3" s="27" t="s">
        <v>52</v>
      </c>
      <c r="L3" s="19"/>
      <c r="M3" s="20"/>
      <c r="N3" s="20"/>
      <c r="O3" s="20"/>
      <c r="P3" s="20"/>
      <c r="Q3" s="20"/>
      <c r="R3" s="20"/>
      <c r="S3" s="20"/>
      <c r="T3" s="20"/>
      <c r="U3" s="20"/>
      <c r="V3" s="20"/>
      <c r="W3" s="19"/>
      <c r="X3" s="20">
        <f t="shared" ref="X3:X20" si="6">(($E$56*12)/$E$55)*J3</f>
        <v>206631.3353</v>
      </c>
      <c r="Y3" s="21" t="s">
        <v>46</v>
      </c>
      <c r="Z3" s="21" t="s">
        <v>42</v>
      </c>
      <c r="AA3" s="16">
        <f t="shared" si="2"/>
        <v>12278.03394</v>
      </c>
      <c r="AB3" s="16">
        <f t="shared" si="3"/>
        <v>12278.03394</v>
      </c>
      <c r="AC3" s="22"/>
    </row>
    <row r="4" ht="32.25" customHeight="1">
      <c r="A4" s="28" t="s">
        <v>53</v>
      </c>
      <c r="B4" s="29" t="s">
        <v>54</v>
      </c>
      <c r="C4" s="13" t="s">
        <v>55</v>
      </c>
      <c r="D4" s="14" t="s">
        <v>41</v>
      </c>
      <c r="E4" s="13" t="s">
        <v>42</v>
      </c>
      <c r="F4" s="25" t="s">
        <v>56</v>
      </c>
      <c r="G4" s="16">
        <v>136.0</v>
      </c>
      <c r="H4" s="16">
        <f t="shared" si="4"/>
        <v>1632</v>
      </c>
      <c r="I4" s="13" t="s">
        <v>44</v>
      </c>
      <c r="J4" s="17">
        <v>2.0</v>
      </c>
      <c r="K4" s="30" t="s">
        <v>57</v>
      </c>
      <c r="L4" s="19"/>
      <c r="M4" s="20">
        <f t="shared" ref="M4:V4" si="5">(M$1/$E$55)*$J4</f>
        <v>382.6506209</v>
      </c>
      <c r="N4" s="20">
        <f t="shared" si="5"/>
        <v>765.3012417</v>
      </c>
      <c r="O4" s="20">
        <f t="shared" si="5"/>
        <v>1147.951863</v>
      </c>
      <c r="P4" s="20">
        <f t="shared" si="5"/>
        <v>1530.602483</v>
      </c>
      <c r="Q4" s="20">
        <f t="shared" si="5"/>
        <v>1913.253104</v>
      </c>
      <c r="R4" s="20">
        <f t="shared" si="5"/>
        <v>2295.903725</v>
      </c>
      <c r="S4" s="20">
        <f t="shared" si="5"/>
        <v>2678.554346</v>
      </c>
      <c r="T4" s="20">
        <f t="shared" si="5"/>
        <v>3061.204967</v>
      </c>
      <c r="U4" s="20">
        <f t="shared" si="5"/>
        <v>3443.855588</v>
      </c>
      <c r="V4" s="20">
        <f t="shared" si="5"/>
        <v>3826.506209</v>
      </c>
      <c r="W4" s="19"/>
      <c r="X4" s="20">
        <f t="shared" si="6"/>
        <v>137754.2235</v>
      </c>
      <c r="Y4" s="21" t="s">
        <v>58</v>
      </c>
      <c r="Z4" s="21">
        <f>X4/1000</f>
        <v>137.7542235</v>
      </c>
      <c r="AA4" s="16">
        <f>(X4/1000)*$E$61</f>
        <v>13775.42235</v>
      </c>
      <c r="AB4" s="16">
        <f t="shared" si="3"/>
        <v>12143.42235</v>
      </c>
      <c r="AC4" s="22"/>
    </row>
    <row r="5" ht="32.25" customHeight="1">
      <c r="A5" s="31" t="s">
        <v>59</v>
      </c>
      <c r="B5" s="24" t="s">
        <v>60</v>
      </c>
      <c r="C5" s="13" t="s">
        <v>49</v>
      </c>
      <c r="D5" s="14" t="s">
        <v>61</v>
      </c>
      <c r="E5" s="13" t="s">
        <v>42</v>
      </c>
      <c r="F5" s="32" t="s">
        <v>62</v>
      </c>
      <c r="G5" s="16">
        <f>IFS($E$56&gt;=25000, 0, $E$56&gt;=12500, 68.75, $E$56&lt;12500, 137.5)</f>
        <v>0</v>
      </c>
      <c r="H5" s="16">
        <f t="shared" si="4"/>
        <v>0</v>
      </c>
      <c r="I5" s="13" t="s">
        <v>44</v>
      </c>
      <c r="J5" s="26">
        <v>5.0</v>
      </c>
      <c r="K5" s="27" t="s">
        <v>63</v>
      </c>
      <c r="L5" s="19"/>
      <c r="M5" s="20"/>
      <c r="N5" s="20"/>
      <c r="O5" s="20"/>
      <c r="P5" s="20"/>
      <c r="Q5" s="20"/>
      <c r="R5" s="20"/>
      <c r="S5" s="20"/>
      <c r="T5" s="20"/>
      <c r="U5" s="20"/>
      <c r="V5" s="20"/>
      <c r="W5" s="19"/>
      <c r="X5" s="20">
        <f t="shared" si="6"/>
        <v>344385.5588</v>
      </c>
      <c r="Y5" s="21" t="s">
        <v>64</v>
      </c>
      <c r="Z5" s="21">
        <f>((X5+(X5*$F$58))/1000)</f>
        <v>447.7012264</v>
      </c>
      <c r="AA5" s="16">
        <f>Z5*$E$58</f>
        <v>11537.2606</v>
      </c>
      <c r="AB5" s="16">
        <f t="shared" si="3"/>
        <v>11537.2606</v>
      </c>
      <c r="AC5" s="22"/>
    </row>
    <row r="6" ht="32.25" customHeight="1">
      <c r="A6" s="10" t="s">
        <v>65</v>
      </c>
      <c r="B6" s="33" t="s">
        <v>66</v>
      </c>
      <c r="C6" s="13" t="s">
        <v>55</v>
      </c>
      <c r="D6" s="34" t="s">
        <v>67</v>
      </c>
      <c r="E6" s="13" t="s">
        <v>42</v>
      </c>
      <c r="F6" s="32" t="s">
        <v>68</v>
      </c>
      <c r="G6" s="16"/>
      <c r="H6" s="16">
        <f t="shared" si="4"/>
        <v>0</v>
      </c>
      <c r="I6" s="13" t="s">
        <v>44</v>
      </c>
      <c r="J6" s="35">
        <v>4.5</v>
      </c>
      <c r="K6" s="18" t="s">
        <v>69</v>
      </c>
      <c r="L6" s="19"/>
      <c r="M6" s="20">
        <f t="shared" ref="M6:V6" si="7">(M$1/$E$55)*$J6</f>
        <v>860.9638969</v>
      </c>
      <c r="N6" s="20">
        <f t="shared" si="7"/>
        <v>1721.927794</v>
      </c>
      <c r="O6" s="20">
        <f t="shared" si="7"/>
        <v>2582.891691</v>
      </c>
      <c r="P6" s="20">
        <f t="shared" si="7"/>
        <v>3443.855588</v>
      </c>
      <c r="Q6" s="20">
        <f t="shared" si="7"/>
        <v>4304.819485</v>
      </c>
      <c r="R6" s="20">
        <f t="shared" si="7"/>
        <v>5165.783381</v>
      </c>
      <c r="S6" s="20">
        <f t="shared" si="7"/>
        <v>6026.747278</v>
      </c>
      <c r="T6" s="20">
        <f t="shared" si="7"/>
        <v>6887.711175</v>
      </c>
      <c r="U6" s="20">
        <f t="shared" si="7"/>
        <v>7748.675072</v>
      </c>
      <c r="V6" s="20">
        <f t="shared" si="7"/>
        <v>8609.638969</v>
      </c>
      <c r="W6" s="19"/>
      <c r="X6" s="20">
        <f t="shared" si="6"/>
        <v>309947.0029</v>
      </c>
      <c r="Y6" s="21" t="s">
        <v>70</v>
      </c>
      <c r="Z6" s="21">
        <f>X6/1000</f>
        <v>309.9470029</v>
      </c>
      <c r="AA6" s="16">
        <f>Z6*$E$60</f>
        <v>10848.1451</v>
      </c>
      <c r="AB6" s="16">
        <f t="shared" si="3"/>
        <v>10848.1451</v>
      </c>
      <c r="AC6" s="22"/>
    </row>
    <row r="7" ht="32.25" customHeight="1">
      <c r="A7" s="36" t="s">
        <v>71</v>
      </c>
      <c r="B7" s="33" t="s">
        <v>72</v>
      </c>
      <c r="C7" s="13" t="s">
        <v>49</v>
      </c>
      <c r="D7" s="14" t="s">
        <v>61</v>
      </c>
      <c r="E7" s="13" t="s">
        <v>42</v>
      </c>
      <c r="F7" s="37" t="s">
        <v>73</v>
      </c>
      <c r="G7" s="16">
        <f>IF($E$56&gt;=25000,0,150)</f>
        <v>0</v>
      </c>
      <c r="H7" s="16">
        <f t="shared" si="4"/>
        <v>0</v>
      </c>
      <c r="I7" s="13" t="s">
        <v>44</v>
      </c>
      <c r="J7" s="38">
        <f>IFS($E$56&gt;=40000, 5, $E$56&gt;=25000, 4.5, $E$56&lt;25000, 4)</f>
        <v>4.5</v>
      </c>
      <c r="K7" s="30" t="s">
        <v>74</v>
      </c>
      <c r="L7" s="19"/>
      <c r="M7" s="20">
        <f t="shared" ref="M7:V7" si="8">(M$1/$E$55)*$J7</f>
        <v>860.9638969</v>
      </c>
      <c r="N7" s="20">
        <f t="shared" si="8"/>
        <v>1721.927794</v>
      </c>
      <c r="O7" s="20">
        <f t="shared" si="8"/>
        <v>2582.891691</v>
      </c>
      <c r="P7" s="20">
        <f t="shared" si="8"/>
        <v>3443.855588</v>
      </c>
      <c r="Q7" s="20">
        <f t="shared" si="8"/>
        <v>4304.819485</v>
      </c>
      <c r="R7" s="20">
        <f t="shared" si="8"/>
        <v>5165.783381</v>
      </c>
      <c r="S7" s="20">
        <f t="shared" si="8"/>
        <v>6026.747278</v>
      </c>
      <c r="T7" s="20">
        <f t="shared" si="8"/>
        <v>6887.711175</v>
      </c>
      <c r="U7" s="20">
        <f t="shared" si="8"/>
        <v>7748.675072</v>
      </c>
      <c r="V7" s="20">
        <f t="shared" si="8"/>
        <v>8609.638969</v>
      </c>
      <c r="W7" s="19"/>
      <c r="X7" s="20">
        <f t="shared" si="6"/>
        <v>309947.0029</v>
      </c>
      <c r="Y7" s="21" t="s">
        <v>64</v>
      </c>
      <c r="Z7" s="21">
        <f t="shared" ref="Z7:Z8" si="9">((X7+(X7*$F$58))/1000)</f>
        <v>402.9311038</v>
      </c>
      <c r="AA7" s="16">
        <f t="shared" ref="AA7:AA8" si="10">Z7*$E$58</f>
        <v>10383.53454</v>
      </c>
      <c r="AB7" s="16">
        <f t="shared" si="3"/>
        <v>10383.53454</v>
      </c>
      <c r="AC7" s="22"/>
    </row>
    <row r="8" ht="32.25" customHeight="1">
      <c r="A8" s="10" t="s">
        <v>75</v>
      </c>
      <c r="B8" s="39" t="s">
        <v>76</v>
      </c>
      <c r="C8" s="13" t="s">
        <v>49</v>
      </c>
      <c r="D8" s="14" t="s">
        <v>77</v>
      </c>
      <c r="E8" s="13" t="s">
        <v>42</v>
      </c>
      <c r="F8" s="32" t="s">
        <v>78</v>
      </c>
      <c r="G8" s="16">
        <v>0.0</v>
      </c>
      <c r="H8" s="16">
        <f t="shared" si="4"/>
        <v>0</v>
      </c>
      <c r="I8" s="13" t="s">
        <v>79</v>
      </c>
      <c r="J8" s="26">
        <v>4.5</v>
      </c>
      <c r="K8" s="18" t="s">
        <v>80</v>
      </c>
      <c r="L8" s="19"/>
      <c r="M8" s="20"/>
      <c r="N8" s="20"/>
      <c r="O8" s="20"/>
      <c r="P8" s="20"/>
      <c r="Q8" s="20"/>
      <c r="R8" s="20"/>
      <c r="S8" s="20"/>
      <c r="T8" s="20"/>
      <c r="U8" s="20"/>
      <c r="V8" s="20"/>
      <c r="W8" s="19"/>
      <c r="X8" s="20">
        <f t="shared" si="6"/>
        <v>309947.0029</v>
      </c>
      <c r="Y8" s="21" t="s">
        <v>64</v>
      </c>
      <c r="Z8" s="21">
        <f t="shared" si="9"/>
        <v>402.9311038</v>
      </c>
      <c r="AA8" s="16">
        <f t="shared" si="10"/>
        <v>10383.53454</v>
      </c>
      <c r="AB8" s="16">
        <f t="shared" si="3"/>
        <v>10383.53454</v>
      </c>
      <c r="AC8" s="22"/>
    </row>
    <row r="9" ht="32.25" customHeight="1">
      <c r="A9" s="23" t="s">
        <v>81</v>
      </c>
      <c r="B9" s="24" t="s">
        <v>48</v>
      </c>
      <c r="C9" s="13" t="s">
        <v>49</v>
      </c>
      <c r="D9" s="14" t="s">
        <v>61</v>
      </c>
      <c r="E9" s="13" t="s">
        <v>42</v>
      </c>
      <c r="F9" s="25" t="s">
        <v>51</v>
      </c>
      <c r="G9" s="16">
        <f>IF($E$56&gt;=8000, 0, 79.99)</f>
        <v>0</v>
      </c>
      <c r="H9" s="16">
        <f t="shared" si="4"/>
        <v>0</v>
      </c>
      <c r="I9" s="13" t="s">
        <v>44</v>
      </c>
      <c r="J9" s="26">
        <v>2.5</v>
      </c>
      <c r="K9" s="27" t="s">
        <v>82</v>
      </c>
      <c r="L9" s="19"/>
      <c r="M9" s="20"/>
      <c r="N9" s="20"/>
      <c r="O9" s="20"/>
      <c r="P9" s="20"/>
      <c r="Q9" s="20"/>
      <c r="R9" s="20"/>
      <c r="S9" s="20"/>
      <c r="T9" s="20"/>
      <c r="U9" s="20"/>
      <c r="V9" s="20"/>
      <c r="W9" s="19"/>
      <c r="X9" s="20">
        <f t="shared" si="6"/>
        <v>172192.7794</v>
      </c>
      <c r="Y9" s="21" t="s">
        <v>46</v>
      </c>
      <c r="Z9" s="21" t="s">
        <v>42</v>
      </c>
      <c r="AA9" s="16">
        <f>(X9/1000)*$E$62</f>
        <v>10231.69495</v>
      </c>
      <c r="AB9" s="16">
        <f t="shared" si="3"/>
        <v>10231.69495</v>
      </c>
      <c r="AC9" s="22"/>
    </row>
    <row r="10" ht="32.25" customHeight="1">
      <c r="A10" s="40" t="s">
        <v>83</v>
      </c>
      <c r="B10" s="33" t="s">
        <v>84</v>
      </c>
      <c r="C10" s="13" t="s">
        <v>49</v>
      </c>
      <c r="D10" s="14" t="s">
        <v>61</v>
      </c>
      <c r="E10" s="13" t="s">
        <v>42</v>
      </c>
      <c r="F10" s="37" t="s">
        <v>85</v>
      </c>
      <c r="G10" s="16">
        <f>IFS($E$56&gt;=26000, 0, $E$56&gt;=18000, 74.58, $E$56&lt;18000, 149.17)</f>
        <v>0</v>
      </c>
      <c r="H10" s="16">
        <f t="shared" si="4"/>
        <v>0</v>
      </c>
      <c r="I10" s="13" t="s">
        <v>44</v>
      </c>
      <c r="J10" s="41">
        <v>4.0</v>
      </c>
      <c r="K10" s="18" t="s">
        <v>86</v>
      </c>
      <c r="L10" s="19"/>
      <c r="M10" s="20"/>
      <c r="N10" s="20"/>
      <c r="O10" s="20"/>
      <c r="P10" s="20"/>
      <c r="Q10" s="20"/>
      <c r="R10" s="20"/>
      <c r="S10" s="20"/>
      <c r="T10" s="20"/>
      <c r="U10" s="20"/>
      <c r="V10" s="20"/>
      <c r="W10" s="19"/>
      <c r="X10" s="20">
        <f t="shared" si="6"/>
        <v>275508.447</v>
      </c>
      <c r="Y10" s="21" t="s">
        <v>64</v>
      </c>
      <c r="Z10" s="21">
        <f>((X10+(X10*$F$58))/1000)</f>
        <v>358.1609811</v>
      </c>
      <c r="AA10" s="16">
        <f>Z10*$E$58</f>
        <v>9229.808483</v>
      </c>
      <c r="AB10" s="16">
        <f t="shared" si="3"/>
        <v>9229.808483</v>
      </c>
      <c r="AC10" s="22"/>
    </row>
    <row r="11" ht="32.25" customHeight="1">
      <c r="A11" s="42" t="s">
        <v>87</v>
      </c>
      <c r="B11" s="33" t="s">
        <v>88</v>
      </c>
      <c r="C11" s="13" t="s">
        <v>89</v>
      </c>
      <c r="D11" s="14" t="s">
        <v>90</v>
      </c>
      <c r="E11" s="13" t="s">
        <v>42</v>
      </c>
      <c r="F11" s="37" t="s">
        <v>73</v>
      </c>
      <c r="G11" s="16">
        <f>IF($E$56&gt;=10000,0,89)</f>
        <v>0</v>
      </c>
      <c r="H11" s="16">
        <f t="shared" si="4"/>
        <v>0</v>
      </c>
      <c r="I11" s="13" t="s">
        <v>44</v>
      </c>
      <c r="J11" s="43">
        <f>IFS($E$56&gt;=20000, 3.5, $E$56&lt;20000, 2.5)</f>
        <v>3.5</v>
      </c>
      <c r="K11" s="27" t="s">
        <v>91</v>
      </c>
      <c r="L11" s="19"/>
      <c r="M11" s="20">
        <f t="shared" ref="M11:V11" si="11">(M$1/$E$55)*$J11</f>
        <v>669.6385865</v>
      </c>
      <c r="N11" s="20">
        <f t="shared" si="11"/>
        <v>1339.277173</v>
      </c>
      <c r="O11" s="20">
        <f t="shared" si="11"/>
        <v>2008.915759</v>
      </c>
      <c r="P11" s="20">
        <f t="shared" si="11"/>
        <v>2678.554346</v>
      </c>
      <c r="Q11" s="20">
        <f t="shared" si="11"/>
        <v>3348.192932</v>
      </c>
      <c r="R11" s="20">
        <f t="shared" si="11"/>
        <v>4017.831519</v>
      </c>
      <c r="S11" s="20">
        <f t="shared" si="11"/>
        <v>4687.470105</v>
      </c>
      <c r="T11" s="20">
        <f t="shared" si="11"/>
        <v>5357.108692</v>
      </c>
      <c r="U11" s="20">
        <f t="shared" si="11"/>
        <v>6026.747278</v>
      </c>
      <c r="V11" s="20">
        <f t="shared" si="11"/>
        <v>6696.385865</v>
      </c>
      <c r="W11" s="19"/>
      <c r="X11" s="20">
        <f t="shared" si="6"/>
        <v>241069.8911</v>
      </c>
      <c r="Y11" s="21" t="s">
        <v>70</v>
      </c>
      <c r="Z11" s="21">
        <f>X11/1000</f>
        <v>241.0698911</v>
      </c>
      <c r="AA11" s="16">
        <f>Z11*$E$60</f>
        <v>8437.44619</v>
      </c>
      <c r="AB11" s="16">
        <f t="shared" si="3"/>
        <v>8437.44619</v>
      </c>
      <c r="AC11" s="22"/>
    </row>
    <row r="12" ht="32.25" customHeight="1">
      <c r="A12" s="11" t="s">
        <v>92</v>
      </c>
      <c r="B12" s="33" t="s">
        <v>72</v>
      </c>
      <c r="C12" s="13" t="s">
        <v>49</v>
      </c>
      <c r="D12" s="14" t="s">
        <v>61</v>
      </c>
      <c r="E12" s="13" t="s">
        <v>42</v>
      </c>
      <c r="F12" s="37">
        <v>40000.0</v>
      </c>
      <c r="G12" s="16">
        <v>160.0</v>
      </c>
      <c r="H12" s="16">
        <f t="shared" si="4"/>
        <v>1920</v>
      </c>
      <c r="I12" s="13" t="s">
        <v>44</v>
      </c>
      <c r="J12" s="44">
        <v>4.0</v>
      </c>
      <c r="K12" s="18" t="s">
        <v>93</v>
      </c>
      <c r="L12" s="19"/>
      <c r="M12" s="20">
        <f t="shared" ref="M12:V12" si="12">(M$1/$E$55)*$J12</f>
        <v>765.3012417</v>
      </c>
      <c r="N12" s="20">
        <f t="shared" si="12"/>
        <v>1530.602483</v>
      </c>
      <c r="O12" s="20">
        <f t="shared" si="12"/>
        <v>2295.903725</v>
      </c>
      <c r="P12" s="20">
        <f t="shared" si="12"/>
        <v>3061.204967</v>
      </c>
      <c r="Q12" s="20">
        <f t="shared" si="12"/>
        <v>3826.506209</v>
      </c>
      <c r="R12" s="20">
        <f t="shared" si="12"/>
        <v>4591.80745</v>
      </c>
      <c r="S12" s="20">
        <f t="shared" si="12"/>
        <v>5357.108692</v>
      </c>
      <c r="T12" s="20">
        <f t="shared" si="12"/>
        <v>6122.409934</v>
      </c>
      <c r="U12" s="20">
        <f t="shared" si="12"/>
        <v>6887.711175</v>
      </c>
      <c r="V12" s="20">
        <f t="shared" si="12"/>
        <v>7653.012417</v>
      </c>
      <c r="W12" s="19"/>
      <c r="X12" s="20">
        <f t="shared" si="6"/>
        <v>275508.447</v>
      </c>
      <c r="Y12" s="21" t="s">
        <v>64</v>
      </c>
      <c r="Z12" s="21">
        <f t="shared" ref="Z12:Z16" si="13">((X12+(X12*$F$58))/1000)</f>
        <v>358.1609811</v>
      </c>
      <c r="AA12" s="16">
        <f t="shared" ref="AA12:AA16" si="14">Z12*$E$58</f>
        <v>9229.808483</v>
      </c>
      <c r="AB12" s="16">
        <f t="shared" si="3"/>
        <v>7309.808483</v>
      </c>
      <c r="AC12" s="22"/>
    </row>
    <row r="13" ht="32.25" customHeight="1">
      <c r="A13" s="45" t="s">
        <v>94</v>
      </c>
      <c r="B13" s="29" t="s">
        <v>95</v>
      </c>
      <c r="C13" s="13" t="s">
        <v>55</v>
      </c>
      <c r="D13" s="14" t="s">
        <v>41</v>
      </c>
      <c r="E13" s="13" t="s">
        <v>42</v>
      </c>
      <c r="F13" s="37">
        <v>15000.0</v>
      </c>
      <c r="G13" s="16">
        <f>IFS($E$56&gt;=60000, 0, $E$56&gt;=30000, 166.67, $E$56&lt;30000, 333.34)</f>
        <v>166.67</v>
      </c>
      <c r="H13" s="16">
        <f t="shared" si="4"/>
        <v>2000.04</v>
      </c>
      <c r="I13" s="13" t="s">
        <v>44</v>
      </c>
      <c r="J13" s="17">
        <v>4.0</v>
      </c>
      <c r="K13" s="27" t="s">
        <v>96</v>
      </c>
      <c r="L13" s="19"/>
      <c r="M13" s="20"/>
      <c r="N13" s="20"/>
      <c r="O13" s="20"/>
      <c r="P13" s="20"/>
      <c r="Q13" s="20"/>
      <c r="R13" s="20"/>
      <c r="S13" s="20"/>
      <c r="T13" s="20"/>
      <c r="U13" s="20"/>
      <c r="V13" s="20"/>
      <c r="W13" s="19"/>
      <c r="X13" s="20">
        <f t="shared" si="6"/>
        <v>275508.447</v>
      </c>
      <c r="Y13" s="21" t="s">
        <v>64</v>
      </c>
      <c r="Z13" s="21">
        <f t="shared" si="13"/>
        <v>358.1609811</v>
      </c>
      <c r="AA13" s="16">
        <f t="shared" si="14"/>
        <v>9229.808483</v>
      </c>
      <c r="AB13" s="16">
        <f t="shared" si="3"/>
        <v>7229.768483</v>
      </c>
      <c r="AC13" s="22"/>
    </row>
    <row r="14" ht="32.25" customHeight="1">
      <c r="A14" s="46" t="s">
        <v>97</v>
      </c>
      <c r="B14" s="47" t="s">
        <v>98</v>
      </c>
      <c r="C14" s="13" t="s">
        <v>49</v>
      </c>
      <c r="D14" s="14" t="s">
        <v>61</v>
      </c>
      <c r="E14" s="13" t="s">
        <v>42</v>
      </c>
      <c r="F14" s="15" t="s">
        <v>99</v>
      </c>
      <c r="G14" s="16">
        <v>0.0</v>
      </c>
      <c r="H14" s="16">
        <f t="shared" si="4"/>
        <v>0</v>
      </c>
      <c r="I14" s="13" t="s">
        <v>44</v>
      </c>
      <c r="J14" s="48">
        <f>IF($E$56&gt;=4500,3,IF($E$56&gt;=3500,2.2,1.6))</f>
        <v>3</v>
      </c>
      <c r="K14" s="18" t="s">
        <v>100</v>
      </c>
      <c r="L14" s="19"/>
      <c r="M14" s="20">
        <f t="shared" ref="M14:V14" si="15">M$1*$J14</f>
        <v>3000</v>
      </c>
      <c r="N14" s="20">
        <f t="shared" si="15"/>
        <v>6000</v>
      </c>
      <c r="O14" s="20">
        <f t="shared" si="15"/>
        <v>9000</v>
      </c>
      <c r="P14" s="20">
        <f t="shared" si="15"/>
        <v>12000</v>
      </c>
      <c r="Q14" s="20">
        <f t="shared" si="15"/>
        <v>15000</v>
      </c>
      <c r="R14" s="20">
        <f t="shared" si="15"/>
        <v>18000</v>
      </c>
      <c r="S14" s="20">
        <f t="shared" si="15"/>
        <v>21000</v>
      </c>
      <c r="T14" s="20">
        <f t="shared" si="15"/>
        <v>24000</v>
      </c>
      <c r="U14" s="20">
        <f t="shared" si="15"/>
        <v>27000</v>
      </c>
      <c r="V14" s="20">
        <f t="shared" si="15"/>
        <v>30000</v>
      </c>
      <c r="W14" s="19"/>
      <c r="X14" s="20">
        <f t="shared" si="6"/>
        <v>206631.3353</v>
      </c>
      <c r="Y14" s="21" t="s">
        <v>64</v>
      </c>
      <c r="Z14" s="21">
        <f t="shared" si="13"/>
        <v>268.6207358</v>
      </c>
      <c r="AA14" s="16">
        <f t="shared" si="14"/>
        <v>6922.356363</v>
      </c>
      <c r="AB14" s="16">
        <f t="shared" si="3"/>
        <v>6922.356363</v>
      </c>
      <c r="AC14" s="22"/>
    </row>
    <row r="15" ht="32.25" customHeight="1">
      <c r="A15" s="49" t="s">
        <v>101</v>
      </c>
      <c r="B15" s="50" t="s">
        <v>102</v>
      </c>
      <c r="C15" s="13" t="s">
        <v>49</v>
      </c>
      <c r="D15" s="14" t="s">
        <v>61</v>
      </c>
      <c r="E15" s="13" t="s">
        <v>42</v>
      </c>
      <c r="F15" s="37" t="s">
        <v>73</v>
      </c>
      <c r="G15" s="16">
        <f>IFS($E$56&gt;=25000, 0, $E$56&gt;=17000, 62.5, $E$56&lt;17000, 125)</f>
        <v>0</v>
      </c>
      <c r="H15" s="16">
        <f t="shared" si="4"/>
        <v>0</v>
      </c>
      <c r="I15" s="13" t="s">
        <v>44</v>
      </c>
      <c r="J15" s="35">
        <v>3.0</v>
      </c>
      <c r="K15" s="18" t="s">
        <v>103</v>
      </c>
      <c r="L15" s="19"/>
      <c r="M15" s="20">
        <f t="shared" ref="M15:V15" si="16">(M$1/$E$55)*$J15</f>
        <v>573.9759313</v>
      </c>
      <c r="N15" s="20">
        <f t="shared" si="16"/>
        <v>1147.951863</v>
      </c>
      <c r="O15" s="20">
        <f t="shared" si="16"/>
        <v>1721.927794</v>
      </c>
      <c r="P15" s="20">
        <f t="shared" si="16"/>
        <v>2295.903725</v>
      </c>
      <c r="Q15" s="20">
        <f t="shared" si="16"/>
        <v>2869.879656</v>
      </c>
      <c r="R15" s="20">
        <f t="shared" si="16"/>
        <v>3443.855588</v>
      </c>
      <c r="S15" s="20">
        <f t="shared" si="16"/>
        <v>4017.831519</v>
      </c>
      <c r="T15" s="20">
        <f t="shared" si="16"/>
        <v>4591.80745</v>
      </c>
      <c r="U15" s="20">
        <f t="shared" si="16"/>
        <v>5165.783381</v>
      </c>
      <c r="V15" s="20">
        <f t="shared" si="16"/>
        <v>5739.759313</v>
      </c>
      <c r="W15" s="19"/>
      <c r="X15" s="20">
        <f t="shared" si="6"/>
        <v>206631.3353</v>
      </c>
      <c r="Y15" s="21" t="s">
        <v>64</v>
      </c>
      <c r="Z15" s="21">
        <f t="shared" si="13"/>
        <v>268.6207358</v>
      </c>
      <c r="AA15" s="16">
        <f t="shared" si="14"/>
        <v>6922.356363</v>
      </c>
      <c r="AB15" s="16">
        <f t="shared" si="3"/>
        <v>6922.356363</v>
      </c>
      <c r="AC15" s="22"/>
    </row>
    <row r="16" ht="32.25" customHeight="1">
      <c r="A16" s="51" t="s">
        <v>104</v>
      </c>
      <c r="B16" s="33" t="s">
        <v>105</v>
      </c>
      <c r="C16" s="13" t="s">
        <v>49</v>
      </c>
      <c r="D16" s="14" t="s">
        <v>61</v>
      </c>
      <c r="E16" s="13" t="s">
        <v>42</v>
      </c>
      <c r="F16" s="37" t="s">
        <v>73</v>
      </c>
      <c r="G16" s="16">
        <f>IFS($E$56&gt;=35000,0,$E$56&gt;=20000,70,$E$56&lt;20000,140)</f>
        <v>70</v>
      </c>
      <c r="H16" s="16">
        <v>4800.0</v>
      </c>
      <c r="I16" s="13" t="s">
        <v>44</v>
      </c>
      <c r="J16" s="17">
        <v>5.0</v>
      </c>
      <c r="K16" s="18" t="s">
        <v>106</v>
      </c>
      <c r="L16" s="19"/>
      <c r="M16" s="20">
        <f t="shared" ref="M16:V16" si="17">(M$1/$E$55)*$J16</f>
        <v>956.6265521</v>
      </c>
      <c r="N16" s="20">
        <f t="shared" si="17"/>
        <v>1913.253104</v>
      </c>
      <c r="O16" s="20">
        <f t="shared" si="17"/>
        <v>2869.879656</v>
      </c>
      <c r="P16" s="20">
        <f t="shared" si="17"/>
        <v>3826.506209</v>
      </c>
      <c r="Q16" s="20">
        <f t="shared" si="17"/>
        <v>4783.132761</v>
      </c>
      <c r="R16" s="20">
        <f t="shared" si="17"/>
        <v>5739.759313</v>
      </c>
      <c r="S16" s="20">
        <f t="shared" si="17"/>
        <v>6696.385865</v>
      </c>
      <c r="T16" s="20">
        <f t="shared" si="17"/>
        <v>7653.012417</v>
      </c>
      <c r="U16" s="20">
        <f t="shared" si="17"/>
        <v>8609.638969</v>
      </c>
      <c r="V16" s="20">
        <f t="shared" si="17"/>
        <v>9566.265521</v>
      </c>
      <c r="W16" s="19"/>
      <c r="X16" s="20">
        <f t="shared" si="6"/>
        <v>344385.5588</v>
      </c>
      <c r="Y16" s="21" t="s">
        <v>64</v>
      </c>
      <c r="Z16" s="21">
        <f t="shared" si="13"/>
        <v>447.7012264</v>
      </c>
      <c r="AA16" s="16">
        <f t="shared" si="14"/>
        <v>11537.2606</v>
      </c>
      <c r="AB16" s="16">
        <f t="shared" si="3"/>
        <v>6737.260604</v>
      </c>
      <c r="AC16" s="22"/>
    </row>
    <row r="17" ht="32.25" customHeight="1">
      <c r="A17" s="28" t="s">
        <v>107</v>
      </c>
      <c r="B17" s="33" t="s">
        <v>108</v>
      </c>
      <c r="C17" s="13" t="s">
        <v>109</v>
      </c>
      <c r="D17" s="14" t="s">
        <v>90</v>
      </c>
      <c r="E17" s="13" t="s">
        <v>42</v>
      </c>
      <c r="F17" s="25" t="s">
        <v>110</v>
      </c>
      <c r="G17" s="16">
        <f>IF($E$56&gt;=30000, 0, 183.33)</f>
        <v>0</v>
      </c>
      <c r="H17" s="16">
        <f t="shared" ref="H17:H33" si="19">G17*12</f>
        <v>0</v>
      </c>
      <c r="I17" s="13" t="s">
        <v>44</v>
      </c>
      <c r="J17" s="35">
        <v>2.6</v>
      </c>
      <c r="K17" s="18" t="s">
        <v>111</v>
      </c>
      <c r="L17" s="19"/>
      <c r="M17" s="20">
        <f t="shared" ref="M17:V17" si="18">(M$1/$E$55)*$J17</f>
        <v>497.4458071</v>
      </c>
      <c r="N17" s="20">
        <f t="shared" si="18"/>
        <v>994.8916142</v>
      </c>
      <c r="O17" s="20">
        <f t="shared" si="18"/>
        <v>1492.337421</v>
      </c>
      <c r="P17" s="20">
        <f t="shared" si="18"/>
        <v>1989.783228</v>
      </c>
      <c r="Q17" s="20">
        <f t="shared" si="18"/>
        <v>2487.229036</v>
      </c>
      <c r="R17" s="20">
        <f t="shared" si="18"/>
        <v>2984.674843</v>
      </c>
      <c r="S17" s="20">
        <f t="shared" si="18"/>
        <v>3482.12065</v>
      </c>
      <c r="T17" s="20">
        <f t="shared" si="18"/>
        <v>3979.566457</v>
      </c>
      <c r="U17" s="20">
        <f t="shared" si="18"/>
        <v>4477.012264</v>
      </c>
      <c r="V17" s="20">
        <f t="shared" si="18"/>
        <v>4974.458071</v>
      </c>
      <c r="W17" s="19"/>
      <c r="X17" s="20">
        <f t="shared" si="6"/>
        <v>179080.4906</v>
      </c>
      <c r="Y17" s="21" t="s">
        <v>46</v>
      </c>
      <c r="Z17" s="21">
        <f>((X17+(X17*$F$62))/2000)</f>
        <v>111.9253066</v>
      </c>
      <c r="AA17" s="16">
        <f>Z17*$E$62</f>
        <v>6650.601718</v>
      </c>
      <c r="AB17" s="16">
        <f t="shared" si="3"/>
        <v>6650.601718</v>
      </c>
      <c r="AC17" s="22"/>
    </row>
    <row r="18" ht="32.25" customHeight="1">
      <c r="A18" s="52" t="s">
        <v>112</v>
      </c>
      <c r="B18" s="50" t="s">
        <v>113</v>
      </c>
      <c r="C18" s="13" t="s">
        <v>49</v>
      </c>
      <c r="D18" s="14" t="s">
        <v>61</v>
      </c>
      <c r="E18" s="13" t="s">
        <v>42</v>
      </c>
      <c r="F18" s="37" t="s">
        <v>73</v>
      </c>
      <c r="G18" s="16">
        <f>IFS($E$56&lt;25000,250,$E$56&gt;=40000,0,$E$56&gt;=25000,125)</f>
        <v>125</v>
      </c>
      <c r="H18" s="16">
        <f t="shared" si="19"/>
        <v>1500</v>
      </c>
      <c r="I18" s="13" t="s">
        <v>44</v>
      </c>
      <c r="J18" s="35">
        <v>3.5</v>
      </c>
      <c r="K18" s="18" t="s">
        <v>114</v>
      </c>
      <c r="L18" s="19"/>
      <c r="M18" s="20">
        <f t="shared" ref="M18:V18" si="20">(M$1/$E$55)*$J18</f>
        <v>669.6385865</v>
      </c>
      <c r="N18" s="20">
        <f t="shared" si="20"/>
        <v>1339.277173</v>
      </c>
      <c r="O18" s="20">
        <f t="shared" si="20"/>
        <v>2008.915759</v>
      </c>
      <c r="P18" s="20">
        <f t="shared" si="20"/>
        <v>2678.554346</v>
      </c>
      <c r="Q18" s="20">
        <f t="shared" si="20"/>
        <v>3348.192932</v>
      </c>
      <c r="R18" s="20">
        <f t="shared" si="20"/>
        <v>4017.831519</v>
      </c>
      <c r="S18" s="20">
        <f t="shared" si="20"/>
        <v>4687.470105</v>
      </c>
      <c r="T18" s="20">
        <f t="shared" si="20"/>
        <v>5357.108692</v>
      </c>
      <c r="U18" s="20">
        <f t="shared" si="20"/>
        <v>6026.747278</v>
      </c>
      <c r="V18" s="20">
        <f t="shared" si="20"/>
        <v>6696.385865</v>
      </c>
      <c r="W18" s="19"/>
      <c r="X18" s="20">
        <f t="shared" si="6"/>
        <v>241069.8911</v>
      </c>
      <c r="Y18" s="21" t="s">
        <v>64</v>
      </c>
      <c r="Z18" s="21">
        <f t="shared" ref="Z18:Z19" si="21">((X18+(X18*$F$58))/1000)</f>
        <v>313.3908585</v>
      </c>
      <c r="AA18" s="16">
        <f t="shared" ref="AA18:AA19" si="22">Z18*$E$58</f>
        <v>8076.082423</v>
      </c>
      <c r="AB18" s="16">
        <f t="shared" si="3"/>
        <v>6576.082423</v>
      </c>
      <c r="AC18" s="22"/>
    </row>
    <row r="19" ht="32.25" customHeight="1">
      <c r="A19" s="53" t="s">
        <v>115</v>
      </c>
      <c r="B19" s="54" t="s">
        <v>116</v>
      </c>
      <c r="C19" s="13" t="s">
        <v>49</v>
      </c>
      <c r="D19" s="14" t="s">
        <v>61</v>
      </c>
      <c r="E19" s="13" t="s">
        <v>42</v>
      </c>
      <c r="F19" s="37">
        <v>10000.0</v>
      </c>
      <c r="G19" s="16">
        <f>IF($E$56&gt;=12000,0,75)</f>
        <v>0</v>
      </c>
      <c r="H19" s="16">
        <f t="shared" si="19"/>
        <v>0</v>
      </c>
      <c r="I19" s="13" t="s">
        <v>44</v>
      </c>
      <c r="J19" s="35">
        <v>2.7</v>
      </c>
      <c r="K19" s="27" t="s">
        <v>117</v>
      </c>
      <c r="L19" s="19"/>
      <c r="M19" s="20"/>
      <c r="N19" s="20"/>
      <c r="O19" s="20"/>
      <c r="P19" s="20"/>
      <c r="Q19" s="20"/>
      <c r="R19" s="20"/>
      <c r="S19" s="20"/>
      <c r="T19" s="20"/>
      <c r="U19" s="20"/>
      <c r="V19" s="20"/>
      <c r="W19" s="19"/>
      <c r="X19" s="20">
        <f t="shared" si="6"/>
        <v>185968.2017</v>
      </c>
      <c r="Y19" s="21" t="s">
        <v>64</v>
      </c>
      <c r="Z19" s="21">
        <f t="shared" si="21"/>
        <v>241.7586623</v>
      </c>
      <c r="AA19" s="16">
        <f t="shared" si="22"/>
        <v>6230.120726</v>
      </c>
      <c r="AB19" s="16">
        <f t="shared" si="3"/>
        <v>6230.120726</v>
      </c>
      <c r="AC19" s="22"/>
    </row>
    <row r="20" ht="32.25" customHeight="1">
      <c r="A20" s="10" t="s">
        <v>118</v>
      </c>
      <c r="B20" s="33" t="s">
        <v>119</v>
      </c>
      <c r="C20" s="13" t="s">
        <v>55</v>
      </c>
      <c r="D20" s="14" t="s">
        <v>120</v>
      </c>
      <c r="E20" s="13" t="s">
        <v>42</v>
      </c>
      <c r="F20" s="37">
        <v>15000.0</v>
      </c>
      <c r="G20" s="16">
        <f t="shared" ref="G20:G21" si="24">IF($E$56&gt;=8000,0,98)</f>
        <v>0</v>
      </c>
      <c r="H20" s="16">
        <f t="shared" si="19"/>
        <v>0</v>
      </c>
      <c r="I20" s="13" t="s">
        <v>44</v>
      </c>
      <c r="J20" s="35">
        <v>2.5</v>
      </c>
      <c r="K20" s="18" t="s">
        <v>121</v>
      </c>
      <c r="L20" s="19"/>
      <c r="M20" s="20">
        <f t="shared" ref="M20:V20" si="23">(M$1/$E$55)*$J20</f>
        <v>478.3132761</v>
      </c>
      <c r="N20" s="20">
        <f t="shared" si="23"/>
        <v>956.6265521</v>
      </c>
      <c r="O20" s="20">
        <f t="shared" si="23"/>
        <v>1434.939828</v>
      </c>
      <c r="P20" s="20">
        <f t="shared" si="23"/>
        <v>1913.253104</v>
      </c>
      <c r="Q20" s="20">
        <f t="shared" si="23"/>
        <v>2391.56638</v>
      </c>
      <c r="R20" s="20">
        <f t="shared" si="23"/>
        <v>2869.879656</v>
      </c>
      <c r="S20" s="20">
        <f t="shared" si="23"/>
        <v>3348.192932</v>
      </c>
      <c r="T20" s="20">
        <f t="shared" si="23"/>
        <v>3826.506209</v>
      </c>
      <c r="U20" s="20">
        <f t="shared" si="23"/>
        <v>4304.819485</v>
      </c>
      <c r="V20" s="20">
        <f t="shared" si="23"/>
        <v>4783.132761</v>
      </c>
      <c r="W20" s="19"/>
      <c r="X20" s="20">
        <f t="shared" si="6"/>
        <v>172192.7794</v>
      </c>
      <c r="Y20" s="21" t="s">
        <v>70</v>
      </c>
      <c r="Z20" s="21">
        <f t="shared" ref="Z20:Z21" si="26">X20/1000</f>
        <v>172.1927794</v>
      </c>
      <c r="AA20" s="16">
        <f t="shared" ref="AA20:AA21" si="27">Z20*$E$60</f>
        <v>6026.747278</v>
      </c>
      <c r="AB20" s="16">
        <f t="shared" si="3"/>
        <v>6026.747278</v>
      </c>
      <c r="AC20" s="16"/>
    </row>
    <row r="21" ht="32.25" customHeight="1">
      <c r="A21" s="10" t="s">
        <v>118</v>
      </c>
      <c r="B21" s="33" t="s">
        <v>122</v>
      </c>
      <c r="C21" s="13" t="s">
        <v>55</v>
      </c>
      <c r="D21" s="14" t="s">
        <v>120</v>
      </c>
      <c r="E21" s="55">
        <v>10000.0</v>
      </c>
      <c r="F21" s="37">
        <v>15000.0</v>
      </c>
      <c r="G21" s="16">
        <f t="shared" si="24"/>
        <v>0</v>
      </c>
      <c r="H21" s="16">
        <f t="shared" si="19"/>
        <v>0</v>
      </c>
      <c r="I21" s="13" t="s">
        <v>44</v>
      </c>
      <c r="J21" s="56">
        <v>2.5</v>
      </c>
      <c r="K21" s="18" t="s">
        <v>123</v>
      </c>
      <c r="L21" s="19"/>
      <c r="M21" s="20">
        <f t="shared" ref="M21:V21" si="25">(M$1/$E$55)*$J21</f>
        <v>478.3132761</v>
      </c>
      <c r="N21" s="20">
        <f t="shared" si="25"/>
        <v>956.6265521</v>
      </c>
      <c r="O21" s="20">
        <f t="shared" si="25"/>
        <v>1434.939828</v>
      </c>
      <c r="P21" s="20">
        <f t="shared" si="25"/>
        <v>1913.253104</v>
      </c>
      <c r="Q21" s="20">
        <f t="shared" si="25"/>
        <v>2391.56638</v>
      </c>
      <c r="R21" s="20">
        <f t="shared" si="25"/>
        <v>2869.879656</v>
      </c>
      <c r="S21" s="20">
        <f t="shared" si="25"/>
        <v>3348.192932</v>
      </c>
      <c r="T21" s="20">
        <f t="shared" si="25"/>
        <v>3826.506209</v>
      </c>
      <c r="U21" s="20">
        <f t="shared" si="25"/>
        <v>4304.819485</v>
      </c>
      <c r="V21" s="20">
        <f t="shared" si="25"/>
        <v>4783.132761</v>
      </c>
      <c r="W21" s="19"/>
      <c r="X21" s="20">
        <f>(($E$56*12)/$E$55)*J21+E21*12</f>
        <v>292192.7794</v>
      </c>
      <c r="Y21" s="21" t="s">
        <v>70</v>
      </c>
      <c r="Z21" s="21">
        <f t="shared" si="26"/>
        <v>292.1927794</v>
      </c>
      <c r="AA21" s="16">
        <f t="shared" si="27"/>
        <v>10226.74728</v>
      </c>
      <c r="AB21" s="16">
        <f t="shared" si="3"/>
        <v>6026.747278</v>
      </c>
      <c r="AC21" s="22">
        <f>350*12</f>
        <v>4200</v>
      </c>
    </row>
    <row r="22" ht="32.25" customHeight="1">
      <c r="A22" s="31" t="s">
        <v>124</v>
      </c>
      <c r="B22" s="24" t="s">
        <v>60</v>
      </c>
      <c r="C22" s="13" t="s">
        <v>125</v>
      </c>
      <c r="D22" s="14" t="s">
        <v>126</v>
      </c>
      <c r="E22" s="13" t="s">
        <v>42</v>
      </c>
      <c r="F22" s="37" t="s">
        <v>42</v>
      </c>
      <c r="G22" s="16">
        <f>IFS($E$56&gt;=10000, 0, $E$56&gt;=5000, 45.83, $E$56&lt;5000, 91.67)</f>
        <v>0</v>
      </c>
      <c r="H22" s="16">
        <f t="shared" si="19"/>
        <v>0</v>
      </c>
      <c r="I22" s="13" t="s">
        <v>44</v>
      </c>
      <c r="J22" s="26">
        <v>2.5</v>
      </c>
      <c r="K22" s="27" t="s">
        <v>127</v>
      </c>
      <c r="L22" s="19"/>
      <c r="M22" s="20"/>
      <c r="N22" s="20"/>
      <c r="O22" s="20"/>
      <c r="P22" s="20"/>
      <c r="Q22" s="20"/>
      <c r="R22" s="20"/>
      <c r="S22" s="20"/>
      <c r="T22" s="20"/>
      <c r="U22" s="20"/>
      <c r="V22" s="20"/>
      <c r="W22" s="19"/>
      <c r="X22" s="20">
        <f>(($E$56*12)/$E$55)*J22</f>
        <v>172192.7794</v>
      </c>
      <c r="Y22" s="21" t="s">
        <v>64</v>
      </c>
      <c r="Z22" s="21">
        <f>((X22+(X22*$F$58))/1000)</f>
        <v>223.8506132</v>
      </c>
      <c r="AA22" s="16">
        <f>Z22*$E$58</f>
        <v>5768.630302</v>
      </c>
      <c r="AB22" s="16">
        <f t="shared" si="3"/>
        <v>5768.630302</v>
      </c>
      <c r="AC22" s="22"/>
    </row>
    <row r="23" ht="32.25" customHeight="1">
      <c r="A23" s="10" t="s">
        <v>118</v>
      </c>
      <c r="B23" s="33" t="s">
        <v>128</v>
      </c>
      <c r="C23" s="13" t="s">
        <v>55</v>
      </c>
      <c r="D23" s="57" t="s">
        <v>129</v>
      </c>
      <c r="E23" s="13" t="s">
        <v>42</v>
      </c>
      <c r="F23" s="37" t="s">
        <v>73</v>
      </c>
      <c r="G23" s="16">
        <v>0.0</v>
      </c>
      <c r="H23" s="16">
        <f t="shared" si="19"/>
        <v>0</v>
      </c>
      <c r="I23" s="13" t="s">
        <v>130</v>
      </c>
      <c r="J23" s="58">
        <v>0.45</v>
      </c>
      <c r="K23" s="18" t="s">
        <v>131</v>
      </c>
      <c r="L23" s="19"/>
      <c r="M23" s="20">
        <f t="shared" ref="M23:V23" si="28">M$1*$J23</f>
        <v>450</v>
      </c>
      <c r="N23" s="20">
        <f t="shared" si="28"/>
        <v>900</v>
      </c>
      <c r="O23" s="20">
        <f t="shared" si="28"/>
        <v>1350</v>
      </c>
      <c r="P23" s="20">
        <f t="shared" si="28"/>
        <v>1800</v>
      </c>
      <c r="Q23" s="20">
        <f t="shared" si="28"/>
        <v>2250</v>
      </c>
      <c r="R23" s="20">
        <f t="shared" si="28"/>
        <v>2700</v>
      </c>
      <c r="S23" s="20">
        <f t="shared" si="28"/>
        <v>3150</v>
      </c>
      <c r="T23" s="20">
        <f t="shared" si="28"/>
        <v>3600</v>
      </c>
      <c r="U23" s="20">
        <f t="shared" si="28"/>
        <v>4050</v>
      </c>
      <c r="V23" s="20">
        <f t="shared" si="28"/>
        <v>4500</v>
      </c>
      <c r="W23" s="19"/>
      <c r="X23" s="20">
        <f>$E$56*12*J23</f>
        <v>162000</v>
      </c>
      <c r="Y23" s="21" t="s">
        <v>70</v>
      </c>
      <c r="Z23" s="21">
        <f>X23/1000</f>
        <v>162</v>
      </c>
      <c r="AA23" s="16">
        <f>Z23*$E$60</f>
        <v>5670</v>
      </c>
      <c r="AB23" s="16">
        <f t="shared" si="3"/>
        <v>5670</v>
      </c>
      <c r="AC23" s="22"/>
    </row>
    <row r="24" ht="32.25" customHeight="1">
      <c r="A24" s="36" t="s">
        <v>132</v>
      </c>
      <c r="B24" s="33" t="s">
        <v>72</v>
      </c>
      <c r="C24" s="13" t="s">
        <v>49</v>
      </c>
      <c r="D24" s="14" t="s">
        <v>61</v>
      </c>
      <c r="E24" s="13" t="s">
        <v>42</v>
      </c>
      <c r="F24" s="37" t="s">
        <v>133</v>
      </c>
      <c r="G24" s="16">
        <f>IF($E$55&gt;=25000, 0, 125)</f>
        <v>125</v>
      </c>
      <c r="H24" s="16">
        <f t="shared" si="19"/>
        <v>1500</v>
      </c>
      <c r="I24" s="13" t="s">
        <v>44</v>
      </c>
      <c r="J24" s="38">
        <f>IFS($E$55&gt;=25000, 4, $E$55&gt;=15000, 3.5, $E$55&lt;15000, 3)</f>
        <v>3</v>
      </c>
      <c r="K24" s="27" t="s">
        <v>134</v>
      </c>
      <c r="L24" s="19"/>
      <c r="M24" s="20"/>
      <c r="N24" s="20"/>
      <c r="O24" s="20"/>
      <c r="P24" s="20"/>
      <c r="Q24" s="20"/>
      <c r="R24" s="20"/>
      <c r="S24" s="20"/>
      <c r="T24" s="20"/>
      <c r="U24" s="20"/>
      <c r="V24" s="20"/>
      <c r="W24" s="19"/>
      <c r="X24" s="20">
        <f t="shared" ref="X24:X33" si="30">(($E$56*12)/$E$55)*J24</f>
        <v>206631.3353</v>
      </c>
      <c r="Y24" s="21" t="s">
        <v>64</v>
      </c>
      <c r="Z24" s="21">
        <f>((X24+(X24*$F$58))/1000)</f>
        <v>268.6207358</v>
      </c>
      <c r="AA24" s="16">
        <f>Z24*$E$58</f>
        <v>6922.356363</v>
      </c>
      <c r="AB24" s="16">
        <f t="shared" si="3"/>
        <v>5422.356363</v>
      </c>
      <c r="AC24" s="22"/>
    </row>
    <row r="25" ht="32.25" customHeight="1">
      <c r="A25" s="28" t="s">
        <v>135</v>
      </c>
      <c r="B25" s="33" t="s">
        <v>108</v>
      </c>
      <c r="C25" s="13" t="s">
        <v>109</v>
      </c>
      <c r="D25" s="14" t="s">
        <v>90</v>
      </c>
      <c r="E25" s="13" t="s">
        <v>42</v>
      </c>
      <c r="F25" s="25" t="s">
        <v>136</v>
      </c>
      <c r="G25" s="16">
        <f>IF($E$56&gt;=8000, 0, 96.25)</f>
        <v>0</v>
      </c>
      <c r="H25" s="16">
        <f t="shared" si="19"/>
        <v>0</v>
      </c>
      <c r="I25" s="13" t="s">
        <v>44</v>
      </c>
      <c r="J25" s="17">
        <v>2.0</v>
      </c>
      <c r="K25" s="18" t="s">
        <v>137</v>
      </c>
      <c r="L25" s="19"/>
      <c r="M25" s="20">
        <f t="shared" ref="M25:V25" si="29">(M$1/$E$55)*$J25</f>
        <v>382.6506209</v>
      </c>
      <c r="N25" s="20">
        <f t="shared" si="29"/>
        <v>765.3012417</v>
      </c>
      <c r="O25" s="20">
        <f t="shared" si="29"/>
        <v>1147.951863</v>
      </c>
      <c r="P25" s="20">
        <f t="shared" si="29"/>
        <v>1530.602483</v>
      </c>
      <c r="Q25" s="20">
        <f t="shared" si="29"/>
        <v>1913.253104</v>
      </c>
      <c r="R25" s="20">
        <f t="shared" si="29"/>
        <v>2295.903725</v>
      </c>
      <c r="S25" s="20">
        <f t="shared" si="29"/>
        <v>2678.554346</v>
      </c>
      <c r="T25" s="20">
        <f t="shared" si="29"/>
        <v>3061.204967</v>
      </c>
      <c r="U25" s="20">
        <f t="shared" si="29"/>
        <v>3443.855588</v>
      </c>
      <c r="V25" s="20">
        <f t="shared" si="29"/>
        <v>3826.506209</v>
      </c>
      <c r="W25" s="19"/>
      <c r="X25" s="20">
        <f t="shared" si="30"/>
        <v>137754.2235</v>
      </c>
      <c r="Y25" s="21" t="s">
        <v>46</v>
      </c>
      <c r="Z25" s="21">
        <f>((X25+(X25*$F$62))/2000)</f>
        <v>86.09638969</v>
      </c>
      <c r="AA25" s="16">
        <f>Z25*$E$62</f>
        <v>5115.847475</v>
      </c>
      <c r="AB25" s="16">
        <f t="shared" si="3"/>
        <v>5115.847475</v>
      </c>
      <c r="AC25" s="22"/>
    </row>
    <row r="26" ht="32.25" customHeight="1">
      <c r="A26" s="59" t="s">
        <v>138</v>
      </c>
      <c r="B26" s="33" t="s">
        <v>72</v>
      </c>
      <c r="C26" s="13" t="s">
        <v>139</v>
      </c>
      <c r="D26" s="14" t="s">
        <v>126</v>
      </c>
      <c r="E26" s="13" t="s">
        <v>42</v>
      </c>
      <c r="F26" s="37">
        <v>10000.0</v>
      </c>
      <c r="G26" s="16">
        <f>IF($E$56&gt;=5500,0,60)</f>
        <v>0</v>
      </c>
      <c r="H26" s="16">
        <f t="shared" si="19"/>
        <v>0</v>
      </c>
      <c r="I26" s="13" t="s">
        <v>44</v>
      </c>
      <c r="J26" s="35">
        <v>2.2</v>
      </c>
      <c r="K26" s="30" t="s">
        <v>140</v>
      </c>
      <c r="L26" s="19"/>
      <c r="M26" s="20">
        <f t="shared" ref="M26:V26" si="31">(M$1/$E$55)*$J26</f>
        <v>420.9156829</v>
      </c>
      <c r="N26" s="20">
        <f t="shared" si="31"/>
        <v>841.8313659</v>
      </c>
      <c r="O26" s="20">
        <f t="shared" si="31"/>
        <v>1262.747049</v>
      </c>
      <c r="P26" s="20">
        <f t="shared" si="31"/>
        <v>1683.662732</v>
      </c>
      <c r="Q26" s="20">
        <f t="shared" si="31"/>
        <v>2104.578415</v>
      </c>
      <c r="R26" s="20">
        <f t="shared" si="31"/>
        <v>2525.494098</v>
      </c>
      <c r="S26" s="20">
        <f t="shared" si="31"/>
        <v>2946.409781</v>
      </c>
      <c r="T26" s="20">
        <f t="shared" si="31"/>
        <v>3367.325463</v>
      </c>
      <c r="U26" s="20">
        <f t="shared" si="31"/>
        <v>3788.241146</v>
      </c>
      <c r="V26" s="20">
        <f t="shared" si="31"/>
        <v>4209.156829</v>
      </c>
      <c r="W26" s="19"/>
      <c r="X26" s="20">
        <f t="shared" si="30"/>
        <v>151529.6459</v>
      </c>
      <c r="Y26" s="21" t="s">
        <v>64</v>
      </c>
      <c r="Z26" s="21">
        <f t="shared" ref="Z26:Z31" si="33">((X26+(X26*$F$58))/1000)</f>
        <v>196.9885396</v>
      </c>
      <c r="AA26" s="16">
        <f t="shared" ref="AA26:AA31" si="34">Z26*$E$58</f>
        <v>5076.394666</v>
      </c>
      <c r="AB26" s="16">
        <f t="shared" si="3"/>
        <v>5076.394666</v>
      </c>
      <c r="AC26" s="22"/>
    </row>
    <row r="27" ht="32.25" customHeight="1">
      <c r="A27" s="10" t="s">
        <v>141</v>
      </c>
      <c r="B27" s="39" t="s">
        <v>76</v>
      </c>
      <c r="C27" s="13" t="s">
        <v>49</v>
      </c>
      <c r="D27" s="14" t="s">
        <v>61</v>
      </c>
      <c r="E27" s="13" t="s">
        <v>42</v>
      </c>
      <c r="F27" s="37" t="s">
        <v>142</v>
      </c>
      <c r="G27" s="16">
        <v>0.0</v>
      </c>
      <c r="H27" s="16">
        <f t="shared" si="19"/>
        <v>0</v>
      </c>
      <c r="I27" s="13" t="s">
        <v>79</v>
      </c>
      <c r="J27" s="60">
        <f>IF($E$56&gt;=7500, 2.2, "1%")</f>
        <v>2.2</v>
      </c>
      <c r="K27" s="30" t="s">
        <v>143</v>
      </c>
      <c r="L27" s="19"/>
      <c r="M27" s="20">
        <f t="shared" ref="M27:V27" si="32">(M$1*1%)/0.03</f>
        <v>333.3333333</v>
      </c>
      <c r="N27" s="20">
        <f t="shared" si="32"/>
        <v>666.6666667</v>
      </c>
      <c r="O27" s="20">
        <f t="shared" si="32"/>
        <v>1000</v>
      </c>
      <c r="P27" s="20">
        <f t="shared" si="32"/>
        <v>1333.333333</v>
      </c>
      <c r="Q27" s="20">
        <f t="shared" si="32"/>
        <v>1666.666667</v>
      </c>
      <c r="R27" s="20">
        <f t="shared" si="32"/>
        <v>2000</v>
      </c>
      <c r="S27" s="20">
        <f t="shared" si="32"/>
        <v>2333.333333</v>
      </c>
      <c r="T27" s="20">
        <f t="shared" si="32"/>
        <v>2666.666667</v>
      </c>
      <c r="U27" s="20">
        <f t="shared" si="32"/>
        <v>3000</v>
      </c>
      <c r="V27" s="20">
        <f t="shared" si="32"/>
        <v>3333.333333</v>
      </c>
      <c r="W27" s="19"/>
      <c r="X27" s="20">
        <f t="shared" si="30"/>
        <v>151529.6459</v>
      </c>
      <c r="Y27" s="21" t="s">
        <v>64</v>
      </c>
      <c r="Z27" s="21">
        <f t="shared" si="33"/>
        <v>196.9885396</v>
      </c>
      <c r="AA27" s="16">
        <f t="shared" si="34"/>
        <v>5076.394666</v>
      </c>
      <c r="AB27" s="16">
        <f t="shared" si="3"/>
        <v>5076.394666</v>
      </c>
      <c r="AC27" s="22"/>
    </row>
    <row r="28" ht="32.25" customHeight="1">
      <c r="A28" s="61" t="s">
        <v>144</v>
      </c>
      <c r="B28" s="47" t="s">
        <v>145</v>
      </c>
      <c r="C28" s="13" t="s">
        <v>55</v>
      </c>
      <c r="D28" s="14" t="s">
        <v>41</v>
      </c>
      <c r="E28" s="13" t="s">
        <v>42</v>
      </c>
      <c r="F28" s="37">
        <v>15000.0</v>
      </c>
      <c r="G28" s="62">
        <f>IF($E$56&gt;=10000,0,85)</f>
        <v>0</v>
      </c>
      <c r="H28" s="16">
        <f t="shared" si="19"/>
        <v>0</v>
      </c>
      <c r="I28" s="13" t="s">
        <v>146</v>
      </c>
      <c r="J28" s="56">
        <v>2.2</v>
      </c>
      <c r="K28" s="30" t="s">
        <v>147</v>
      </c>
      <c r="L28" s="19"/>
      <c r="M28" s="20"/>
      <c r="N28" s="20"/>
      <c r="O28" s="20"/>
      <c r="P28" s="20"/>
      <c r="Q28" s="20"/>
      <c r="R28" s="20"/>
      <c r="S28" s="20"/>
      <c r="T28" s="20"/>
      <c r="U28" s="20"/>
      <c r="V28" s="20"/>
      <c r="W28" s="19"/>
      <c r="X28" s="20">
        <f t="shared" si="30"/>
        <v>151529.6459</v>
      </c>
      <c r="Y28" s="21" t="s">
        <v>64</v>
      </c>
      <c r="Z28" s="21">
        <f t="shared" si="33"/>
        <v>196.9885396</v>
      </c>
      <c r="AA28" s="16">
        <f t="shared" si="34"/>
        <v>5076.394666</v>
      </c>
      <c r="AB28" s="16">
        <f t="shared" si="3"/>
        <v>5076.394666</v>
      </c>
      <c r="AC28" s="22"/>
    </row>
    <row r="29" ht="32.25" customHeight="1">
      <c r="A29" s="63" t="s">
        <v>148</v>
      </c>
      <c r="B29" s="39" t="s">
        <v>42</v>
      </c>
      <c r="C29" s="13" t="s">
        <v>55</v>
      </c>
      <c r="D29" s="14" t="s">
        <v>149</v>
      </c>
      <c r="E29" s="13" t="s">
        <v>42</v>
      </c>
      <c r="F29" s="37" t="s">
        <v>142</v>
      </c>
      <c r="G29" s="16">
        <f>IF($E$56&gt;=8000,0,89)</f>
        <v>0</v>
      </c>
      <c r="H29" s="16">
        <f t="shared" si="19"/>
        <v>0</v>
      </c>
      <c r="I29" s="13" t="s">
        <v>44</v>
      </c>
      <c r="J29" s="26">
        <v>2.2</v>
      </c>
      <c r="K29" s="18" t="s">
        <v>150</v>
      </c>
      <c r="L29" s="19"/>
      <c r="M29" s="20">
        <f t="shared" ref="M29:V29" si="35">(M$1*1%)/0.03</f>
        <v>333.3333333</v>
      </c>
      <c r="N29" s="20">
        <f t="shared" si="35"/>
        <v>666.6666667</v>
      </c>
      <c r="O29" s="20">
        <f t="shared" si="35"/>
        <v>1000</v>
      </c>
      <c r="P29" s="20">
        <f t="shared" si="35"/>
        <v>1333.333333</v>
      </c>
      <c r="Q29" s="20">
        <f t="shared" si="35"/>
        <v>1666.666667</v>
      </c>
      <c r="R29" s="20">
        <f t="shared" si="35"/>
        <v>2000</v>
      </c>
      <c r="S29" s="20">
        <f t="shared" si="35"/>
        <v>2333.333333</v>
      </c>
      <c r="T29" s="20">
        <f t="shared" si="35"/>
        <v>2666.666667</v>
      </c>
      <c r="U29" s="20">
        <f t="shared" si="35"/>
        <v>3000</v>
      </c>
      <c r="V29" s="20">
        <f t="shared" si="35"/>
        <v>3333.333333</v>
      </c>
      <c r="W29" s="19"/>
      <c r="X29" s="20">
        <f t="shared" si="30"/>
        <v>151529.6459</v>
      </c>
      <c r="Y29" s="21" t="s">
        <v>64</v>
      </c>
      <c r="Z29" s="21">
        <f t="shared" si="33"/>
        <v>196.9885396</v>
      </c>
      <c r="AA29" s="16">
        <f t="shared" si="34"/>
        <v>5076.394666</v>
      </c>
      <c r="AB29" s="16">
        <f t="shared" si="3"/>
        <v>5076.394666</v>
      </c>
      <c r="AC29" s="22"/>
    </row>
    <row r="30" ht="32.25" customHeight="1">
      <c r="A30" s="40" t="s">
        <v>151</v>
      </c>
      <c r="B30" s="33" t="s">
        <v>84</v>
      </c>
      <c r="C30" s="13" t="s">
        <v>55</v>
      </c>
      <c r="D30" s="14" t="s">
        <v>41</v>
      </c>
      <c r="E30" s="13" t="s">
        <v>42</v>
      </c>
      <c r="F30" s="37" t="s">
        <v>73</v>
      </c>
      <c r="G30" s="16">
        <v>64.17</v>
      </c>
      <c r="H30" s="16">
        <f t="shared" si="19"/>
        <v>770.04</v>
      </c>
      <c r="I30" s="13" t="s">
        <v>44</v>
      </c>
      <c r="J30" s="56">
        <v>2.5</v>
      </c>
      <c r="K30" s="18" t="s">
        <v>152</v>
      </c>
      <c r="L30" s="19"/>
      <c r="M30" s="20">
        <f t="shared" ref="M30:V30" si="36">(M$1/$E$55)*$J30</f>
        <v>478.3132761</v>
      </c>
      <c r="N30" s="20">
        <f t="shared" si="36"/>
        <v>956.6265521</v>
      </c>
      <c r="O30" s="20">
        <f t="shared" si="36"/>
        <v>1434.939828</v>
      </c>
      <c r="P30" s="20">
        <f t="shared" si="36"/>
        <v>1913.253104</v>
      </c>
      <c r="Q30" s="20">
        <f t="shared" si="36"/>
        <v>2391.56638</v>
      </c>
      <c r="R30" s="20">
        <f t="shared" si="36"/>
        <v>2869.879656</v>
      </c>
      <c r="S30" s="20">
        <f t="shared" si="36"/>
        <v>3348.192932</v>
      </c>
      <c r="T30" s="20">
        <f t="shared" si="36"/>
        <v>3826.506209</v>
      </c>
      <c r="U30" s="20">
        <f t="shared" si="36"/>
        <v>4304.819485</v>
      </c>
      <c r="V30" s="20">
        <f t="shared" si="36"/>
        <v>4783.132761</v>
      </c>
      <c r="W30" s="19"/>
      <c r="X30" s="20">
        <f t="shared" si="30"/>
        <v>172192.7794</v>
      </c>
      <c r="Y30" s="21" t="s">
        <v>64</v>
      </c>
      <c r="Z30" s="21">
        <f t="shared" si="33"/>
        <v>223.8506132</v>
      </c>
      <c r="AA30" s="16">
        <f t="shared" si="34"/>
        <v>5768.630302</v>
      </c>
      <c r="AB30" s="16">
        <f t="shared" si="3"/>
        <v>4998.590302</v>
      </c>
      <c r="AC30" s="22"/>
    </row>
    <row r="31" ht="32.25" customHeight="1">
      <c r="A31" s="52" t="s">
        <v>153</v>
      </c>
      <c r="B31" s="50" t="s">
        <v>113</v>
      </c>
      <c r="C31" s="13" t="s">
        <v>49</v>
      </c>
      <c r="D31" s="14" t="s">
        <v>61</v>
      </c>
      <c r="E31" s="13" t="s">
        <v>42</v>
      </c>
      <c r="F31" s="37" t="s">
        <v>73</v>
      </c>
      <c r="G31" s="16">
        <v>64.17</v>
      </c>
      <c r="H31" s="16">
        <f t="shared" si="19"/>
        <v>770.04</v>
      </c>
      <c r="I31" s="13" t="s">
        <v>44</v>
      </c>
      <c r="J31" s="43">
        <f>IF($E$56&gt;=15000, 2.5, 2.2)</f>
        <v>2.5</v>
      </c>
      <c r="K31" s="30" t="s">
        <v>154</v>
      </c>
      <c r="L31" s="19"/>
      <c r="M31" s="20">
        <f t="shared" ref="M31:V31" si="37">(M$1/$E$55)*$J31</f>
        <v>478.3132761</v>
      </c>
      <c r="N31" s="20">
        <f t="shared" si="37"/>
        <v>956.6265521</v>
      </c>
      <c r="O31" s="20">
        <f t="shared" si="37"/>
        <v>1434.939828</v>
      </c>
      <c r="P31" s="20">
        <f t="shared" si="37"/>
        <v>1913.253104</v>
      </c>
      <c r="Q31" s="20">
        <f t="shared" si="37"/>
        <v>2391.56638</v>
      </c>
      <c r="R31" s="20">
        <f t="shared" si="37"/>
        <v>2869.879656</v>
      </c>
      <c r="S31" s="20">
        <f t="shared" si="37"/>
        <v>3348.192932</v>
      </c>
      <c r="T31" s="20">
        <f t="shared" si="37"/>
        <v>3826.506209</v>
      </c>
      <c r="U31" s="20">
        <f t="shared" si="37"/>
        <v>4304.819485</v>
      </c>
      <c r="V31" s="20">
        <f t="shared" si="37"/>
        <v>4783.132761</v>
      </c>
      <c r="W31" s="19"/>
      <c r="X31" s="20">
        <f t="shared" si="30"/>
        <v>172192.7794</v>
      </c>
      <c r="Y31" s="21" t="s">
        <v>64</v>
      </c>
      <c r="Z31" s="21">
        <f t="shared" si="33"/>
        <v>223.8506132</v>
      </c>
      <c r="AA31" s="16">
        <f t="shared" si="34"/>
        <v>5768.630302</v>
      </c>
      <c r="AB31" s="16">
        <f t="shared" si="3"/>
        <v>4998.590302</v>
      </c>
      <c r="AC31" s="22"/>
    </row>
    <row r="32" ht="32.25" customHeight="1">
      <c r="A32" s="10" t="s">
        <v>118</v>
      </c>
      <c r="B32" s="33" t="s">
        <v>155</v>
      </c>
      <c r="C32" s="13" t="s">
        <v>55</v>
      </c>
      <c r="D32" s="14" t="s">
        <v>41</v>
      </c>
      <c r="E32" s="13" t="s">
        <v>42</v>
      </c>
      <c r="F32" s="37" t="s">
        <v>73</v>
      </c>
      <c r="G32" s="16">
        <f>IF($E$56&gt;=5000,0,50)</f>
        <v>0</v>
      </c>
      <c r="H32" s="16">
        <f t="shared" si="19"/>
        <v>0</v>
      </c>
      <c r="I32" s="13" t="s">
        <v>44</v>
      </c>
      <c r="J32" s="35">
        <v>2.0</v>
      </c>
      <c r="K32" s="18" t="s">
        <v>156</v>
      </c>
      <c r="L32" s="19"/>
      <c r="M32" s="20">
        <f t="shared" ref="M32:V32" si="38">(M$1/$E$55)*$J32</f>
        <v>382.6506209</v>
      </c>
      <c r="N32" s="20">
        <f t="shared" si="38"/>
        <v>765.3012417</v>
      </c>
      <c r="O32" s="20">
        <f t="shared" si="38"/>
        <v>1147.951863</v>
      </c>
      <c r="P32" s="20">
        <f t="shared" si="38"/>
        <v>1530.602483</v>
      </c>
      <c r="Q32" s="20">
        <f t="shared" si="38"/>
        <v>1913.253104</v>
      </c>
      <c r="R32" s="20">
        <f t="shared" si="38"/>
        <v>2295.903725</v>
      </c>
      <c r="S32" s="20">
        <f t="shared" si="38"/>
        <v>2678.554346</v>
      </c>
      <c r="T32" s="20">
        <f t="shared" si="38"/>
        <v>3061.204967</v>
      </c>
      <c r="U32" s="20">
        <f t="shared" si="38"/>
        <v>3443.855588</v>
      </c>
      <c r="V32" s="20">
        <f t="shared" si="38"/>
        <v>3826.506209</v>
      </c>
      <c r="W32" s="19"/>
      <c r="X32" s="20">
        <f t="shared" si="30"/>
        <v>137754.2235</v>
      </c>
      <c r="Y32" s="21" t="s">
        <v>70</v>
      </c>
      <c r="Z32" s="21">
        <f>X32/1000</f>
        <v>137.7542235</v>
      </c>
      <c r="AA32" s="16">
        <f t="shared" ref="AA32:AA33" si="39">Z32*$E$60</f>
        <v>4821.397823</v>
      </c>
      <c r="AB32" s="16">
        <f t="shared" si="3"/>
        <v>4821.397823</v>
      </c>
      <c r="AC32" s="16"/>
    </row>
    <row r="33" ht="32.25" customHeight="1">
      <c r="A33" s="61" t="s">
        <v>157</v>
      </c>
      <c r="B33" s="47" t="s">
        <v>145</v>
      </c>
      <c r="C33" s="13" t="s">
        <v>55</v>
      </c>
      <c r="D33" s="14" t="s">
        <v>41</v>
      </c>
      <c r="E33" s="13" t="s">
        <v>42</v>
      </c>
      <c r="F33" s="37">
        <v>15000.0</v>
      </c>
      <c r="G33" s="16">
        <v>400.0</v>
      </c>
      <c r="H33" s="16">
        <f t="shared" si="19"/>
        <v>4800</v>
      </c>
      <c r="I33" s="13" t="s">
        <v>146</v>
      </c>
      <c r="J33" s="35">
        <v>3.0</v>
      </c>
      <c r="K33" s="30" t="s">
        <v>158</v>
      </c>
      <c r="L33" s="19"/>
      <c r="M33" s="20"/>
      <c r="N33" s="20"/>
      <c r="O33" s="20"/>
      <c r="P33" s="20"/>
      <c r="Q33" s="20"/>
      <c r="R33" s="20"/>
      <c r="S33" s="20"/>
      <c r="T33" s="20"/>
      <c r="U33" s="20"/>
      <c r="V33" s="20"/>
      <c r="W33" s="19"/>
      <c r="X33" s="20">
        <f t="shared" si="30"/>
        <v>206631.3353</v>
      </c>
      <c r="Y33" s="21" t="s">
        <v>64</v>
      </c>
      <c r="Z33" s="21">
        <f>((X33+(X33*$F$58))/1000)</f>
        <v>268.6207358</v>
      </c>
      <c r="AA33" s="16">
        <f t="shared" si="39"/>
        <v>9401.725754</v>
      </c>
      <c r="AB33" s="16">
        <f t="shared" si="3"/>
        <v>4601.725754</v>
      </c>
      <c r="AC33" s="22"/>
    </row>
    <row r="34" ht="32.25" customHeight="1">
      <c r="A34" s="64" t="s">
        <v>159</v>
      </c>
      <c r="B34" s="47" t="s">
        <v>160</v>
      </c>
      <c r="C34" s="13" t="s">
        <v>55</v>
      </c>
      <c r="D34" s="14" t="s">
        <v>161</v>
      </c>
      <c r="E34" s="13" t="s">
        <v>42</v>
      </c>
      <c r="F34" s="37" t="s">
        <v>42</v>
      </c>
      <c r="G34" s="16">
        <v>0.0</v>
      </c>
      <c r="H34" s="16">
        <f>G34*5</f>
        <v>0</v>
      </c>
      <c r="I34" s="13" t="s">
        <v>130</v>
      </c>
      <c r="J34" s="26">
        <v>0.5</v>
      </c>
      <c r="K34" s="27" t="s">
        <v>162</v>
      </c>
      <c r="L34" s="19"/>
      <c r="M34" s="20"/>
      <c r="N34" s="20"/>
      <c r="O34" s="20"/>
      <c r="P34" s="20"/>
      <c r="Q34" s="20"/>
      <c r="R34" s="20"/>
      <c r="S34" s="20"/>
      <c r="T34" s="20"/>
      <c r="U34" s="20"/>
      <c r="V34" s="20"/>
      <c r="W34" s="19"/>
      <c r="X34" s="20">
        <f>$E$56*12*J34</f>
        <v>180000</v>
      </c>
      <c r="Y34" s="21" t="s">
        <v>163</v>
      </c>
      <c r="Z34" s="21">
        <f>((X34+(X34*$F$57))/1000)</f>
        <v>324</v>
      </c>
      <c r="AA34" s="65">
        <f>Z34*$E$57</f>
        <v>4740.12</v>
      </c>
      <c r="AB34" s="16">
        <f t="shared" si="3"/>
        <v>4740.12</v>
      </c>
      <c r="AC34" s="16"/>
    </row>
    <row r="35" ht="32.25" customHeight="1">
      <c r="A35" s="10" t="s">
        <v>118</v>
      </c>
      <c r="B35" s="33" t="s">
        <v>164</v>
      </c>
      <c r="C35" s="13" t="s">
        <v>55</v>
      </c>
      <c r="D35" s="13" t="s">
        <v>165</v>
      </c>
      <c r="E35" s="13" t="s">
        <v>166</v>
      </c>
      <c r="F35" s="37" t="s">
        <v>142</v>
      </c>
      <c r="G35" s="16">
        <v>22.0</v>
      </c>
      <c r="H35" s="16">
        <f>12*G35</f>
        <v>264</v>
      </c>
      <c r="I35" s="13" t="s">
        <v>130</v>
      </c>
      <c r="J35" s="66">
        <v>0.28</v>
      </c>
      <c r="K35" s="18" t="s">
        <v>167</v>
      </c>
      <c r="L35" s="19"/>
      <c r="M35" s="20">
        <f t="shared" ref="M35:V35" si="40">(M$1*$J35)+600</f>
        <v>880</v>
      </c>
      <c r="N35" s="20">
        <f t="shared" si="40"/>
        <v>1160</v>
      </c>
      <c r="O35" s="20">
        <f t="shared" si="40"/>
        <v>1440</v>
      </c>
      <c r="P35" s="20">
        <f t="shared" si="40"/>
        <v>1720</v>
      </c>
      <c r="Q35" s="20">
        <f t="shared" si="40"/>
        <v>2000</v>
      </c>
      <c r="R35" s="20">
        <f t="shared" si="40"/>
        <v>2280</v>
      </c>
      <c r="S35" s="20">
        <f t="shared" si="40"/>
        <v>2560</v>
      </c>
      <c r="T35" s="20">
        <f t="shared" si="40"/>
        <v>2840</v>
      </c>
      <c r="U35" s="20">
        <f t="shared" si="40"/>
        <v>3120</v>
      </c>
      <c r="V35" s="20">
        <f t="shared" si="40"/>
        <v>3400</v>
      </c>
      <c r="W35" s="19"/>
      <c r="X35" s="20">
        <f>($E$56*((12*J35))+(12*600))</f>
        <v>108000</v>
      </c>
      <c r="Y35" s="21" t="s">
        <v>70</v>
      </c>
      <c r="Z35" s="21">
        <f>((X35+(X35*$F$58))/1000)</f>
        <v>140.4</v>
      </c>
      <c r="AA35" s="16">
        <f>Z35*$E$60</f>
        <v>4914</v>
      </c>
      <c r="AB35" s="16">
        <f t="shared" si="3"/>
        <v>4650</v>
      </c>
      <c r="AC35" s="16"/>
    </row>
    <row r="36" ht="32.25" customHeight="1">
      <c r="A36" s="45" t="s">
        <v>168</v>
      </c>
      <c r="B36" s="33" t="s">
        <v>169</v>
      </c>
      <c r="C36" s="13" t="s">
        <v>109</v>
      </c>
      <c r="D36" s="14" t="s">
        <v>90</v>
      </c>
      <c r="E36" s="13" t="s">
        <v>42</v>
      </c>
      <c r="F36" s="37">
        <v>15000.0</v>
      </c>
      <c r="G36" s="16">
        <f>IFS($E$56&gt;=20000,0,$E$56&gt;=10000,50,$E$56&lt;10000,100)</f>
        <v>0</v>
      </c>
      <c r="H36" s="16">
        <f t="shared" ref="H36:H38" si="42">G36*12</f>
        <v>0</v>
      </c>
      <c r="I36" s="13" t="s">
        <v>44</v>
      </c>
      <c r="J36" s="35">
        <v>2.5</v>
      </c>
      <c r="K36" s="18" t="s">
        <v>170</v>
      </c>
      <c r="L36" s="19"/>
      <c r="M36" s="20">
        <f t="shared" ref="M36:V36" si="41">(M$1/$E$55)*$J36</f>
        <v>478.3132761</v>
      </c>
      <c r="N36" s="20">
        <f t="shared" si="41"/>
        <v>956.6265521</v>
      </c>
      <c r="O36" s="20">
        <f t="shared" si="41"/>
        <v>1434.939828</v>
      </c>
      <c r="P36" s="20">
        <f t="shared" si="41"/>
        <v>1913.253104</v>
      </c>
      <c r="Q36" s="20">
        <f t="shared" si="41"/>
        <v>2391.56638</v>
      </c>
      <c r="R36" s="20">
        <f t="shared" si="41"/>
        <v>2869.879656</v>
      </c>
      <c r="S36" s="20">
        <f t="shared" si="41"/>
        <v>3348.192932</v>
      </c>
      <c r="T36" s="20">
        <f t="shared" si="41"/>
        <v>3826.506209</v>
      </c>
      <c r="U36" s="20">
        <f t="shared" si="41"/>
        <v>4304.819485</v>
      </c>
      <c r="V36" s="20">
        <f t="shared" si="41"/>
        <v>4783.132761</v>
      </c>
      <c r="W36" s="19"/>
      <c r="X36" s="20">
        <f t="shared" ref="X36:X37" si="44">(($E$56*12)/$E$55)*J36</f>
        <v>172192.7794</v>
      </c>
      <c r="Y36" s="21" t="s">
        <v>64</v>
      </c>
      <c r="Z36" s="16" t="s">
        <v>42</v>
      </c>
      <c r="AA36" s="65">
        <f>(X36/1000)*$E$58</f>
        <v>4437.407925</v>
      </c>
      <c r="AB36" s="16">
        <f t="shared" si="3"/>
        <v>4437.407925</v>
      </c>
      <c r="AC36" s="16">
        <v>0.0</v>
      </c>
    </row>
    <row r="37" ht="32.25" customHeight="1">
      <c r="A37" s="67" t="s">
        <v>171</v>
      </c>
      <c r="B37" s="50" t="s">
        <v>172</v>
      </c>
      <c r="C37" s="13" t="s">
        <v>55</v>
      </c>
      <c r="D37" s="14" t="s">
        <v>41</v>
      </c>
      <c r="E37" s="13" t="s">
        <v>42</v>
      </c>
      <c r="F37" s="37" t="s">
        <v>73</v>
      </c>
      <c r="G37" s="16">
        <v>60.0</v>
      </c>
      <c r="H37" s="16">
        <f t="shared" si="42"/>
        <v>720</v>
      </c>
      <c r="I37" s="13" t="s">
        <v>44</v>
      </c>
      <c r="J37" s="35">
        <v>2.2</v>
      </c>
      <c r="K37" s="68" t="s">
        <v>173</v>
      </c>
      <c r="L37" s="19"/>
      <c r="M37" s="20">
        <f t="shared" ref="M37:V37" si="43">(M$1/$E$55)*$J37</f>
        <v>420.9156829</v>
      </c>
      <c r="N37" s="20">
        <f t="shared" si="43"/>
        <v>841.8313659</v>
      </c>
      <c r="O37" s="20">
        <f t="shared" si="43"/>
        <v>1262.747049</v>
      </c>
      <c r="P37" s="20">
        <f t="shared" si="43"/>
        <v>1683.662732</v>
      </c>
      <c r="Q37" s="20">
        <f t="shared" si="43"/>
        <v>2104.578415</v>
      </c>
      <c r="R37" s="20">
        <f t="shared" si="43"/>
        <v>2525.494098</v>
      </c>
      <c r="S37" s="20">
        <f t="shared" si="43"/>
        <v>2946.409781</v>
      </c>
      <c r="T37" s="20">
        <f t="shared" si="43"/>
        <v>3367.325463</v>
      </c>
      <c r="U37" s="20">
        <f t="shared" si="43"/>
        <v>3788.241146</v>
      </c>
      <c r="V37" s="20">
        <f t="shared" si="43"/>
        <v>4209.156829</v>
      </c>
      <c r="W37" s="19"/>
      <c r="X37" s="20">
        <f t="shared" si="44"/>
        <v>151529.6459</v>
      </c>
      <c r="Y37" s="21" t="s">
        <v>64</v>
      </c>
      <c r="Z37" s="21">
        <f>((X37+(X37*$F$58))/1000)</f>
        <v>196.9885396</v>
      </c>
      <c r="AA37" s="16">
        <f>Z37*$E$58</f>
        <v>5076.394666</v>
      </c>
      <c r="AB37" s="16">
        <f t="shared" si="3"/>
        <v>4356.394666</v>
      </c>
      <c r="AC37" s="16"/>
    </row>
    <row r="38" ht="32.25" customHeight="1">
      <c r="A38" s="69" t="s">
        <v>174</v>
      </c>
      <c r="B38" s="70" t="s">
        <v>42</v>
      </c>
      <c r="C38" s="13" t="s">
        <v>55</v>
      </c>
      <c r="D38" s="14" t="s">
        <v>41</v>
      </c>
      <c r="E38" s="13" t="s">
        <v>42</v>
      </c>
      <c r="F38" s="37" t="s">
        <v>73</v>
      </c>
      <c r="G38" s="16">
        <f>IF($E$56&gt;=8000,0,89)</f>
        <v>0</v>
      </c>
      <c r="H38" s="16">
        <f t="shared" si="42"/>
        <v>0</v>
      </c>
      <c r="I38" s="13" t="s">
        <v>175</v>
      </c>
      <c r="J38" s="71">
        <v>0.012</v>
      </c>
      <c r="K38" s="30" t="s">
        <v>176</v>
      </c>
      <c r="L38" s="19"/>
      <c r="M38" s="20"/>
      <c r="N38" s="20"/>
      <c r="O38" s="20"/>
      <c r="P38" s="20"/>
      <c r="Q38" s="20"/>
      <c r="R38" s="20"/>
      <c r="S38" s="20"/>
      <c r="T38" s="20"/>
      <c r="U38" s="20"/>
      <c r="V38" s="20"/>
      <c r="W38" s="19"/>
      <c r="X38" s="16">
        <f>(($E$56*12))*J38</f>
        <v>4320</v>
      </c>
      <c r="Y38" s="16"/>
      <c r="Z38" s="16"/>
      <c r="AA38" s="16" t="s">
        <v>42</v>
      </c>
      <c r="AB38" s="16">
        <f>X38-H38</f>
        <v>4320</v>
      </c>
      <c r="AC38" s="16"/>
    </row>
    <row r="39" ht="32.25" customHeight="1">
      <c r="A39" s="64" t="s">
        <v>177</v>
      </c>
      <c r="B39" s="47" t="s">
        <v>160</v>
      </c>
      <c r="C39" s="13" t="s">
        <v>55</v>
      </c>
      <c r="D39" s="14" t="s">
        <v>41</v>
      </c>
      <c r="E39" s="13" t="s">
        <v>42</v>
      </c>
      <c r="F39" s="37" t="s">
        <v>42</v>
      </c>
      <c r="G39" s="16">
        <v>0.0</v>
      </c>
      <c r="H39" s="16">
        <f>G39*5</f>
        <v>0</v>
      </c>
      <c r="I39" s="13" t="s">
        <v>130</v>
      </c>
      <c r="J39" s="26">
        <v>0.4</v>
      </c>
      <c r="K39" s="30" t="s">
        <v>178</v>
      </c>
      <c r="L39" s="19"/>
      <c r="M39" s="20"/>
      <c r="N39" s="20"/>
      <c r="O39" s="20"/>
      <c r="P39" s="20"/>
      <c r="Q39" s="20"/>
      <c r="R39" s="20"/>
      <c r="S39" s="20"/>
      <c r="T39" s="20"/>
      <c r="U39" s="20"/>
      <c r="V39" s="20"/>
      <c r="W39" s="19"/>
      <c r="X39" s="20">
        <f>$E$56*12*J39</f>
        <v>144000</v>
      </c>
      <c r="Y39" s="21" t="s">
        <v>163</v>
      </c>
      <c r="Z39" s="21">
        <f>((X39+(X39*$F$57))/1000)</f>
        <v>259.2</v>
      </c>
      <c r="AA39" s="65">
        <f>Z39*$E$57</f>
        <v>3792.096</v>
      </c>
      <c r="AB39" s="16">
        <f t="shared" ref="AB39:AB40" si="46">AA39-H39-AC39</f>
        <v>3792.096</v>
      </c>
      <c r="AC39" s="22"/>
    </row>
    <row r="40" ht="32.25" customHeight="1">
      <c r="A40" s="45" t="s">
        <v>179</v>
      </c>
      <c r="B40" s="33" t="s">
        <v>169</v>
      </c>
      <c r="C40" s="13" t="s">
        <v>55</v>
      </c>
      <c r="D40" s="57" t="s">
        <v>129</v>
      </c>
      <c r="E40" s="13" t="s">
        <v>42</v>
      </c>
      <c r="F40" s="37">
        <v>5000.0</v>
      </c>
      <c r="G40" s="16">
        <f>IFS($E$56&gt;=4000,0,$E$56&gt;=2000,31,$E$56&lt;4000,62)</f>
        <v>0</v>
      </c>
      <c r="H40" s="16">
        <f t="shared" ref="H40:H48" si="47">G40*12</f>
        <v>0</v>
      </c>
      <c r="I40" s="13" t="s">
        <v>44</v>
      </c>
      <c r="J40" s="17">
        <v>2.0</v>
      </c>
      <c r="K40" s="18" t="s">
        <v>180</v>
      </c>
      <c r="L40" s="19"/>
      <c r="M40" s="20">
        <f t="shared" ref="M40:V40" si="45">(M$1/$E$55)*$J40</f>
        <v>382.6506209</v>
      </c>
      <c r="N40" s="20">
        <f t="shared" si="45"/>
        <v>765.3012417</v>
      </c>
      <c r="O40" s="20">
        <f t="shared" si="45"/>
        <v>1147.951863</v>
      </c>
      <c r="P40" s="20">
        <f t="shared" si="45"/>
        <v>1530.602483</v>
      </c>
      <c r="Q40" s="20">
        <f t="shared" si="45"/>
        <v>1913.253104</v>
      </c>
      <c r="R40" s="20">
        <f t="shared" si="45"/>
        <v>2295.903725</v>
      </c>
      <c r="S40" s="20">
        <f t="shared" si="45"/>
        <v>2678.554346</v>
      </c>
      <c r="T40" s="20">
        <f t="shared" si="45"/>
        <v>3061.204967</v>
      </c>
      <c r="U40" s="20">
        <f t="shared" si="45"/>
        <v>3443.855588</v>
      </c>
      <c r="V40" s="20">
        <f t="shared" si="45"/>
        <v>3826.506209</v>
      </c>
      <c r="W40" s="19"/>
      <c r="X40" s="20">
        <f>(($E$56*12)/$E$55)*J40</f>
        <v>137754.2235</v>
      </c>
      <c r="Y40" s="21" t="s">
        <v>64</v>
      </c>
      <c r="Z40" s="21">
        <f>X40/1000</f>
        <v>137.7542235</v>
      </c>
      <c r="AA40" s="65">
        <f>Z40*$E$58</f>
        <v>3549.92634</v>
      </c>
      <c r="AB40" s="16">
        <f t="shared" si="46"/>
        <v>3549.92634</v>
      </c>
      <c r="AC40" s="22">
        <v>0.0</v>
      </c>
    </row>
    <row r="41" ht="32.25" customHeight="1">
      <c r="A41" s="72" t="s">
        <v>181</v>
      </c>
      <c r="B41" s="33" t="s">
        <v>182</v>
      </c>
      <c r="C41" s="13" t="s">
        <v>55</v>
      </c>
      <c r="D41" s="57" t="s">
        <v>129</v>
      </c>
      <c r="E41" s="13" t="s">
        <v>42</v>
      </c>
      <c r="F41" s="37" t="s">
        <v>142</v>
      </c>
      <c r="G41" s="16">
        <v>0.0</v>
      </c>
      <c r="H41" s="16">
        <f t="shared" si="47"/>
        <v>0</v>
      </c>
      <c r="I41" s="13" t="s">
        <v>175</v>
      </c>
      <c r="J41" s="73">
        <v>0.01</v>
      </c>
      <c r="K41" s="30" t="s">
        <v>183</v>
      </c>
      <c r="L41" s="19"/>
      <c r="M41" s="16">
        <f t="shared" ref="M41:V41" si="48">(M$1)*$J41</f>
        <v>10</v>
      </c>
      <c r="N41" s="16">
        <f t="shared" si="48"/>
        <v>20</v>
      </c>
      <c r="O41" s="16">
        <f t="shared" si="48"/>
        <v>30</v>
      </c>
      <c r="P41" s="16">
        <f t="shared" si="48"/>
        <v>40</v>
      </c>
      <c r="Q41" s="16">
        <f t="shared" si="48"/>
        <v>50</v>
      </c>
      <c r="R41" s="16">
        <f t="shared" si="48"/>
        <v>60</v>
      </c>
      <c r="S41" s="16">
        <f t="shared" si="48"/>
        <v>70</v>
      </c>
      <c r="T41" s="16">
        <f t="shared" si="48"/>
        <v>80</v>
      </c>
      <c r="U41" s="16">
        <f t="shared" si="48"/>
        <v>90</v>
      </c>
      <c r="V41" s="16">
        <f t="shared" si="48"/>
        <v>100</v>
      </c>
      <c r="W41" s="19"/>
      <c r="X41" s="16">
        <f>(($E$56*12))*J41</f>
        <v>3600</v>
      </c>
      <c r="Y41" s="16"/>
      <c r="Z41" s="16"/>
      <c r="AA41" s="16" t="s">
        <v>42</v>
      </c>
      <c r="AB41" s="16">
        <f>X41-H41</f>
        <v>3600</v>
      </c>
      <c r="AC41" s="16"/>
    </row>
    <row r="42" ht="32.25" customHeight="1">
      <c r="A42" s="10" t="s">
        <v>118</v>
      </c>
      <c r="B42" s="33" t="s">
        <v>184</v>
      </c>
      <c r="C42" s="13" t="s">
        <v>55</v>
      </c>
      <c r="D42" s="13" t="s">
        <v>165</v>
      </c>
      <c r="E42" s="13" t="s">
        <v>185</v>
      </c>
      <c r="F42" s="37" t="s">
        <v>142</v>
      </c>
      <c r="G42" s="16">
        <v>8.0</v>
      </c>
      <c r="H42" s="16">
        <f t="shared" si="47"/>
        <v>96</v>
      </c>
      <c r="I42" s="13" t="s">
        <v>130</v>
      </c>
      <c r="J42" s="66">
        <v>0.28</v>
      </c>
      <c r="K42" s="18"/>
      <c r="L42" s="19"/>
      <c r="M42" s="20">
        <f t="shared" ref="M42:V42" si="49">M$1*$J42</f>
        <v>280</v>
      </c>
      <c r="N42" s="20">
        <f t="shared" si="49"/>
        <v>560</v>
      </c>
      <c r="O42" s="20">
        <f t="shared" si="49"/>
        <v>840</v>
      </c>
      <c r="P42" s="20">
        <f t="shared" si="49"/>
        <v>1120</v>
      </c>
      <c r="Q42" s="20">
        <f t="shared" si="49"/>
        <v>1400</v>
      </c>
      <c r="R42" s="20">
        <f t="shared" si="49"/>
        <v>1680</v>
      </c>
      <c r="S42" s="20">
        <f t="shared" si="49"/>
        <v>1960</v>
      </c>
      <c r="T42" s="20">
        <f t="shared" si="49"/>
        <v>2240</v>
      </c>
      <c r="U42" s="20">
        <f t="shared" si="49"/>
        <v>2520</v>
      </c>
      <c r="V42" s="20">
        <f t="shared" si="49"/>
        <v>2800</v>
      </c>
      <c r="W42" s="19"/>
      <c r="X42" s="20">
        <f>$E$56*12*J42</f>
        <v>100800</v>
      </c>
      <c r="Y42" s="21" t="s">
        <v>70</v>
      </c>
      <c r="Z42" s="21">
        <f>X42/1000</f>
        <v>100.8</v>
      </c>
      <c r="AA42" s="16">
        <f>Z42*$E$60</f>
        <v>3528</v>
      </c>
      <c r="AB42" s="16">
        <f t="shared" ref="AB42:AB45" si="51">AA42-H42-AC42</f>
        <v>3432</v>
      </c>
      <c r="AC42" s="22"/>
    </row>
    <row r="43" ht="32.25" customHeight="1">
      <c r="A43" s="45" t="s">
        <v>186</v>
      </c>
      <c r="B43" s="29" t="s">
        <v>187</v>
      </c>
      <c r="C43" s="13" t="s">
        <v>49</v>
      </c>
      <c r="D43" s="14" t="s">
        <v>61</v>
      </c>
      <c r="E43" s="13" t="s">
        <v>42</v>
      </c>
      <c r="F43" s="37">
        <v>15000.0</v>
      </c>
      <c r="G43" s="16">
        <f>IFS($E$56&gt;=20000,0,$E$56&gt;=10000,50,$E$56&lt;10000,100)</f>
        <v>0</v>
      </c>
      <c r="H43" s="16">
        <f t="shared" si="47"/>
        <v>0</v>
      </c>
      <c r="I43" s="13" t="s">
        <v>44</v>
      </c>
      <c r="J43" s="35">
        <v>3.5</v>
      </c>
      <c r="K43" s="18" t="s">
        <v>188</v>
      </c>
      <c r="L43" s="19"/>
      <c r="M43" s="20">
        <f t="shared" ref="M43:V43" si="50">(M$1/$E$55)*$J43</f>
        <v>669.6385865</v>
      </c>
      <c r="N43" s="20">
        <f t="shared" si="50"/>
        <v>1339.277173</v>
      </c>
      <c r="O43" s="20">
        <f t="shared" si="50"/>
        <v>2008.915759</v>
      </c>
      <c r="P43" s="20">
        <f t="shared" si="50"/>
        <v>2678.554346</v>
      </c>
      <c r="Q43" s="20">
        <f t="shared" si="50"/>
        <v>3348.192932</v>
      </c>
      <c r="R43" s="20">
        <f t="shared" si="50"/>
        <v>4017.831519</v>
      </c>
      <c r="S43" s="20">
        <f t="shared" si="50"/>
        <v>4687.470105</v>
      </c>
      <c r="T43" s="20">
        <f t="shared" si="50"/>
        <v>5357.108692</v>
      </c>
      <c r="U43" s="20">
        <f t="shared" si="50"/>
        <v>6026.747278</v>
      </c>
      <c r="V43" s="20">
        <f t="shared" si="50"/>
        <v>6696.385865</v>
      </c>
      <c r="W43" s="19"/>
      <c r="X43" s="20">
        <f t="shared" ref="X43:X45" si="53">(($E$56*12)/$E$55)*J43</f>
        <v>241069.8911</v>
      </c>
      <c r="Y43" s="16" t="s">
        <v>189</v>
      </c>
      <c r="Z43" s="16" t="s">
        <v>42</v>
      </c>
      <c r="AA43" s="65">
        <f>(X43/1000)*$E$59</f>
        <v>3370.157078</v>
      </c>
      <c r="AB43" s="16">
        <f t="shared" si="51"/>
        <v>3370.157078</v>
      </c>
      <c r="AC43" s="22"/>
    </row>
    <row r="44" ht="32.25" customHeight="1">
      <c r="A44" s="11" t="s">
        <v>190</v>
      </c>
      <c r="B44" s="33" t="s">
        <v>72</v>
      </c>
      <c r="C44" s="13" t="s">
        <v>40</v>
      </c>
      <c r="D44" s="14" t="s">
        <v>191</v>
      </c>
      <c r="E44" s="13" t="s">
        <v>42</v>
      </c>
      <c r="F44" s="37">
        <v>15000.0</v>
      </c>
      <c r="G44" s="16">
        <v>151.0</v>
      </c>
      <c r="H44" s="16">
        <f t="shared" si="47"/>
        <v>1812</v>
      </c>
      <c r="I44" s="13" t="s">
        <v>44</v>
      </c>
      <c r="J44" s="56">
        <v>2.2</v>
      </c>
      <c r="K44" s="18" t="s">
        <v>192</v>
      </c>
      <c r="L44" s="19"/>
      <c r="M44" s="20">
        <f t="shared" ref="M44:V44" si="52">(M$1/$E$55)*$J44</f>
        <v>420.9156829</v>
      </c>
      <c r="N44" s="20">
        <f t="shared" si="52"/>
        <v>841.8313659</v>
      </c>
      <c r="O44" s="20">
        <f t="shared" si="52"/>
        <v>1262.747049</v>
      </c>
      <c r="P44" s="20">
        <f t="shared" si="52"/>
        <v>1683.662732</v>
      </c>
      <c r="Q44" s="20">
        <f t="shared" si="52"/>
        <v>2104.578415</v>
      </c>
      <c r="R44" s="20">
        <f t="shared" si="52"/>
        <v>2525.494098</v>
      </c>
      <c r="S44" s="20">
        <f t="shared" si="52"/>
        <v>2946.409781</v>
      </c>
      <c r="T44" s="20">
        <f t="shared" si="52"/>
        <v>3367.325463</v>
      </c>
      <c r="U44" s="20">
        <f t="shared" si="52"/>
        <v>3788.241146</v>
      </c>
      <c r="V44" s="20">
        <f t="shared" si="52"/>
        <v>4209.156829</v>
      </c>
      <c r="W44" s="19"/>
      <c r="X44" s="20">
        <f t="shared" si="53"/>
        <v>151529.6459</v>
      </c>
      <c r="Y44" s="21" t="s">
        <v>64</v>
      </c>
      <c r="Z44" s="21">
        <f t="shared" ref="Z44:Z45" si="55">((X44+(X44*$F$58))/1000)</f>
        <v>196.9885396</v>
      </c>
      <c r="AA44" s="65">
        <f t="shared" ref="AA44:AA45" si="56">Z44*$E$58</f>
        <v>5076.394666</v>
      </c>
      <c r="AB44" s="16">
        <f t="shared" si="51"/>
        <v>3264.394666</v>
      </c>
      <c r="AC44" s="22"/>
    </row>
    <row r="45" ht="32.25" customHeight="1">
      <c r="A45" s="63" t="s">
        <v>193</v>
      </c>
      <c r="B45" s="39" t="s">
        <v>42</v>
      </c>
      <c r="C45" s="13" t="s">
        <v>55</v>
      </c>
      <c r="D45" s="57" t="s">
        <v>194</v>
      </c>
      <c r="E45" s="13" t="s">
        <v>42</v>
      </c>
      <c r="F45" s="37" t="s">
        <v>142</v>
      </c>
      <c r="G45" s="16">
        <f>IF($E$56&gt;=4000,0,39)</f>
        <v>0</v>
      </c>
      <c r="H45" s="16">
        <f t="shared" si="47"/>
        <v>0</v>
      </c>
      <c r="I45" s="13" t="s">
        <v>44</v>
      </c>
      <c r="J45" s="26">
        <v>1.4</v>
      </c>
      <c r="K45" s="18" t="s">
        <v>195</v>
      </c>
      <c r="L45" s="19"/>
      <c r="M45" s="20">
        <f t="shared" ref="M45:V45" si="54">(M$1*1%)/0.03</f>
        <v>333.3333333</v>
      </c>
      <c r="N45" s="20">
        <f t="shared" si="54"/>
        <v>666.6666667</v>
      </c>
      <c r="O45" s="20">
        <f t="shared" si="54"/>
        <v>1000</v>
      </c>
      <c r="P45" s="20">
        <f t="shared" si="54"/>
        <v>1333.333333</v>
      </c>
      <c r="Q45" s="20">
        <f t="shared" si="54"/>
        <v>1666.666667</v>
      </c>
      <c r="R45" s="20">
        <f t="shared" si="54"/>
        <v>2000</v>
      </c>
      <c r="S45" s="20">
        <f t="shared" si="54"/>
        <v>2333.333333</v>
      </c>
      <c r="T45" s="20">
        <f t="shared" si="54"/>
        <v>2666.666667</v>
      </c>
      <c r="U45" s="20">
        <f t="shared" si="54"/>
        <v>3000</v>
      </c>
      <c r="V45" s="20">
        <f t="shared" si="54"/>
        <v>3333.333333</v>
      </c>
      <c r="W45" s="19"/>
      <c r="X45" s="20">
        <f t="shared" si="53"/>
        <v>96427.95645</v>
      </c>
      <c r="Y45" s="21" t="s">
        <v>64</v>
      </c>
      <c r="Z45" s="21">
        <f t="shared" si="55"/>
        <v>125.3563434</v>
      </c>
      <c r="AA45" s="16">
        <f t="shared" si="56"/>
        <v>3230.432969</v>
      </c>
      <c r="AB45" s="16">
        <f t="shared" si="51"/>
        <v>3230.432969</v>
      </c>
      <c r="AC45" s="22"/>
    </row>
    <row r="46" ht="32.25" customHeight="1">
      <c r="A46" s="72" t="s">
        <v>196</v>
      </c>
      <c r="B46" s="39" t="s">
        <v>42</v>
      </c>
      <c r="C46" s="13" t="s">
        <v>55</v>
      </c>
      <c r="D46" s="74" t="s">
        <v>197</v>
      </c>
      <c r="E46" s="13" t="s">
        <v>42</v>
      </c>
      <c r="F46" s="37" t="s">
        <v>142</v>
      </c>
      <c r="G46" s="16">
        <v>30.0</v>
      </c>
      <c r="H46" s="16">
        <f t="shared" si="47"/>
        <v>360</v>
      </c>
      <c r="I46" s="13" t="s">
        <v>175</v>
      </c>
      <c r="J46" s="73">
        <v>0.01</v>
      </c>
      <c r="K46" s="18" t="s">
        <v>198</v>
      </c>
      <c r="L46" s="19"/>
      <c r="M46" s="16">
        <f t="shared" ref="M46:V46" si="57">(M$1)*$J46</f>
        <v>10</v>
      </c>
      <c r="N46" s="16">
        <f t="shared" si="57"/>
        <v>20</v>
      </c>
      <c r="O46" s="16">
        <f t="shared" si="57"/>
        <v>30</v>
      </c>
      <c r="P46" s="16">
        <f t="shared" si="57"/>
        <v>40</v>
      </c>
      <c r="Q46" s="16">
        <f t="shared" si="57"/>
        <v>50</v>
      </c>
      <c r="R46" s="16">
        <f t="shared" si="57"/>
        <v>60</v>
      </c>
      <c r="S46" s="16">
        <f t="shared" si="57"/>
        <v>70</v>
      </c>
      <c r="T46" s="16">
        <f t="shared" si="57"/>
        <v>80</v>
      </c>
      <c r="U46" s="16">
        <f t="shared" si="57"/>
        <v>90</v>
      </c>
      <c r="V46" s="16">
        <f t="shared" si="57"/>
        <v>100</v>
      </c>
      <c r="W46" s="19"/>
      <c r="X46" s="16">
        <f>(($E$56*12))*J46</f>
        <v>3600</v>
      </c>
      <c r="Y46" s="16" t="s">
        <v>42</v>
      </c>
      <c r="Z46" s="16" t="s">
        <v>42</v>
      </c>
      <c r="AA46" s="16" t="s">
        <v>42</v>
      </c>
      <c r="AB46" s="16">
        <f>X46-H46</f>
        <v>3240</v>
      </c>
      <c r="AC46" s="22"/>
    </row>
    <row r="47" ht="32.25" customHeight="1">
      <c r="A47" s="11" t="s">
        <v>199</v>
      </c>
      <c r="B47" s="33" t="s">
        <v>72</v>
      </c>
      <c r="C47" s="13" t="s">
        <v>139</v>
      </c>
      <c r="D47" s="14" t="s">
        <v>126</v>
      </c>
      <c r="E47" s="13" t="s">
        <v>42</v>
      </c>
      <c r="F47" s="37">
        <v>20000.0</v>
      </c>
      <c r="G47" s="16">
        <v>101.0</v>
      </c>
      <c r="H47" s="16">
        <f t="shared" si="47"/>
        <v>1212</v>
      </c>
      <c r="I47" s="13" t="s">
        <v>44</v>
      </c>
      <c r="J47" s="41">
        <v>1.8</v>
      </c>
      <c r="K47" s="18" t="s">
        <v>200</v>
      </c>
      <c r="L47" s="19"/>
      <c r="M47" s="20">
        <f t="shared" ref="M47:V47" si="58">(M$1/$E$55)*$J47</f>
        <v>344.3855588</v>
      </c>
      <c r="N47" s="20">
        <f t="shared" si="58"/>
        <v>688.7711175</v>
      </c>
      <c r="O47" s="20">
        <f t="shared" si="58"/>
        <v>1033.156676</v>
      </c>
      <c r="P47" s="20">
        <f t="shared" si="58"/>
        <v>1377.542235</v>
      </c>
      <c r="Q47" s="20">
        <f t="shared" si="58"/>
        <v>1721.927794</v>
      </c>
      <c r="R47" s="20">
        <f t="shared" si="58"/>
        <v>2066.313353</v>
      </c>
      <c r="S47" s="20">
        <f t="shared" si="58"/>
        <v>2410.698911</v>
      </c>
      <c r="T47" s="20">
        <f t="shared" si="58"/>
        <v>2755.08447</v>
      </c>
      <c r="U47" s="20">
        <f t="shared" si="58"/>
        <v>3099.470029</v>
      </c>
      <c r="V47" s="20">
        <f t="shared" si="58"/>
        <v>3443.855588</v>
      </c>
      <c r="W47" s="19"/>
      <c r="X47" s="20">
        <f>(($E$56*12)/$E$55)*J47</f>
        <v>123978.8012</v>
      </c>
      <c r="Y47" s="21" t="s">
        <v>64</v>
      </c>
      <c r="Z47" s="21">
        <f>((X47+(X47*$F$58))/1000)</f>
        <v>161.1724415</v>
      </c>
      <c r="AA47" s="65">
        <f>Z47*$E$58</f>
        <v>4153.413818</v>
      </c>
      <c r="AB47" s="16">
        <f>AA47-H47-AC47</f>
        <v>2941.413818</v>
      </c>
      <c r="AC47" s="16"/>
    </row>
    <row r="48" ht="32.25" customHeight="1">
      <c r="A48" s="75" t="s">
        <v>201</v>
      </c>
      <c r="B48" s="33" t="s">
        <v>202</v>
      </c>
      <c r="C48" s="13" t="s">
        <v>49</v>
      </c>
      <c r="D48" s="14" t="s">
        <v>61</v>
      </c>
      <c r="E48" s="13" t="s">
        <v>42</v>
      </c>
      <c r="F48" s="37" t="s">
        <v>142</v>
      </c>
      <c r="G48" s="16">
        <v>79.9</v>
      </c>
      <c r="H48" s="16">
        <f t="shared" si="47"/>
        <v>958.8</v>
      </c>
      <c r="I48" s="13" t="s">
        <v>175</v>
      </c>
      <c r="J48" s="73">
        <v>0.01</v>
      </c>
      <c r="K48" s="18" t="s">
        <v>203</v>
      </c>
      <c r="L48" s="19"/>
      <c r="M48" s="16">
        <f t="shared" ref="M48:V48" si="59">(M$1)*$J48</f>
        <v>10</v>
      </c>
      <c r="N48" s="16">
        <f t="shared" si="59"/>
        <v>20</v>
      </c>
      <c r="O48" s="16">
        <f t="shared" si="59"/>
        <v>30</v>
      </c>
      <c r="P48" s="16">
        <f t="shared" si="59"/>
        <v>40</v>
      </c>
      <c r="Q48" s="16">
        <f t="shared" si="59"/>
        <v>50</v>
      </c>
      <c r="R48" s="16">
        <f t="shared" si="59"/>
        <v>60</v>
      </c>
      <c r="S48" s="16">
        <f t="shared" si="59"/>
        <v>70</v>
      </c>
      <c r="T48" s="16">
        <f t="shared" si="59"/>
        <v>80</v>
      </c>
      <c r="U48" s="16">
        <f t="shared" si="59"/>
        <v>90</v>
      </c>
      <c r="V48" s="16">
        <f t="shared" si="59"/>
        <v>100</v>
      </c>
      <c r="W48" s="19"/>
      <c r="X48" s="16">
        <f>(($E$56*12))*J48</f>
        <v>3600</v>
      </c>
      <c r="Y48" s="16"/>
      <c r="Z48" s="16"/>
      <c r="AA48" s="16" t="s">
        <v>42</v>
      </c>
      <c r="AB48" s="16">
        <f>X48-H48</f>
        <v>2641.2</v>
      </c>
      <c r="AC48" s="16"/>
    </row>
    <row r="49" ht="32.25" customHeight="1">
      <c r="A49" s="76" t="s">
        <v>204</v>
      </c>
      <c r="B49" s="33" t="s">
        <v>72</v>
      </c>
      <c r="C49" s="13" t="s">
        <v>125</v>
      </c>
      <c r="D49" s="57" t="s">
        <v>205</v>
      </c>
      <c r="E49" s="13" t="s">
        <v>42</v>
      </c>
      <c r="F49" s="37" t="s">
        <v>142</v>
      </c>
      <c r="G49" s="16">
        <v>0.0</v>
      </c>
      <c r="H49" s="16">
        <v>0.0</v>
      </c>
      <c r="I49" s="13" t="s">
        <v>44</v>
      </c>
      <c r="J49" s="17">
        <v>1.0</v>
      </c>
      <c r="K49" s="18" t="s">
        <v>206</v>
      </c>
      <c r="L49" s="19"/>
      <c r="M49" s="20">
        <f t="shared" ref="M49:V49" si="60">(M$1/$E$55)*$J49</f>
        <v>191.3253104</v>
      </c>
      <c r="N49" s="20">
        <f t="shared" si="60"/>
        <v>382.6506209</v>
      </c>
      <c r="O49" s="20">
        <f t="shared" si="60"/>
        <v>573.9759313</v>
      </c>
      <c r="P49" s="20">
        <f t="shared" si="60"/>
        <v>765.3012417</v>
      </c>
      <c r="Q49" s="20">
        <f t="shared" si="60"/>
        <v>956.6265521</v>
      </c>
      <c r="R49" s="20">
        <f t="shared" si="60"/>
        <v>1147.951863</v>
      </c>
      <c r="S49" s="20">
        <f t="shared" si="60"/>
        <v>1339.277173</v>
      </c>
      <c r="T49" s="20">
        <f t="shared" si="60"/>
        <v>1530.602483</v>
      </c>
      <c r="U49" s="20">
        <f t="shared" si="60"/>
        <v>1721.927794</v>
      </c>
      <c r="V49" s="20">
        <f t="shared" si="60"/>
        <v>1913.253104</v>
      </c>
      <c r="W49" s="19"/>
      <c r="X49" s="20">
        <f>(($E$56*12)/$E$55)*J49</f>
        <v>68877.11175</v>
      </c>
      <c r="Y49" s="21" t="s">
        <v>64</v>
      </c>
      <c r="Z49" s="21">
        <f t="shared" ref="Z49:Z50" si="62">((X49+(X49*$F$58))/1000)</f>
        <v>89.54024528</v>
      </c>
      <c r="AA49" s="65">
        <f t="shared" ref="AA49:AA50" si="63">Z49*$E$58</f>
        <v>2307.452121</v>
      </c>
      <c r="AB49" s="16">
        <f t="shared" ref="AB49:AB50" si="64">AA49-H49-AC49</f>
        <v>2307.452121</v>
      </c>
      <c r="AC49" s="16"/>
    </row>
    <row r="50" ht="32.25" customHeight="1">
      <c r="A50" s="45" t="s">
        <v>207</v>
      </c>
      <c r="B50" s="33" t="s">
        <v>208</v>
      </c>
      <c r="C50" s="13" t="s">
        <v>209</v>
      </c>
      <c r="D50" s="57" t="s">
        <v>129</v>
      </c>
      <c r="E50" s="13" t="s">
        <v>42</v>
      </c>
      <c r="F50" s="37">
        <v>800.0</v>
      </c>
      <c r="G50" s="16">
        <v>15.0</v>
      </c>
      <c r="H50" s="16">
        <f t="shared" ref="H50:H53" si="65">G50*12</f>
        <v>180</v>
      </c>
      <c r="I50" s="13" t="s">
        <v>130</v>
      </c>
      <c r="J50" s="77" t="s">
        <v>210</v>
      </c>
      <c r="K50" s="18" t="s">
        <v>211</v>
      </c>
      <c r="L50" s="19"/>
      <c r="M50" s="20">
        <f t="shared" ref="M50:V50" si="61">M$1/5</f>
        <v>200</v>
      </c>
      <c r="N50" s="20">
        <f t="shared" si="61"/>
        <v>400</v>
      </c>
      <c r="O50" s="20">
        <f t="shared" si="61"/>
        <v>600</v>
      </c>
      <c r="P50" s="20">
        <f t="shared" si="61"/>
        <v>800</v>
      </c>
      <c r="Q50" s="20">
        <f t="shared" si="61"/>
        <v>1000</v>
      </c>
      <c r="R50" s="20">
        <f t="shared" si="61"/>
        <v>1200</v>
      </c>
      <c r="S50" s="20">
        <f t="shared" si="61"/>
        <v>1400</v>
      </c>
      <c r="T50" s="20">
        <f t="shared" si="61"/>
        <v>1600</v>
      </c>
      <c r="U50" s="20">
        <f t="shared" si="61"/>
        <v>1800</v>
      </c>
      <c r="V50" s="20">
        <f t="shared" si="61"/>
        <v>2000</v>
      </c>
      <c r="W50" s="19"/>
      <c r="X50" s="20">
        <f>($E$56*12)/5</f>
        <v>72000</v>
      </c>
      <c r="Y50" s="21" t="s">
        <v>64</v>
      </c>
      <c r="Z50" s="78">
        <f t="shared" si="62"/>
        <v>93.6</v>
      </c>
      <c r="AA50" s="65">
        <f t="shared" si="63"/>
        <v>2412.072</v>
      </c>
      <c r="AB50" s="16">
        <f t="shared" si="64"/>
        <v>2232.072</v>
      </c>
      <c r="AC50" s="16"/>
    </row>
    <row r="51" ht="32.25" customHeight="1">
      <c r="A51" s="75" t="s">
        <v>201</v>
      </c>
      <c r="B51" s="33" t="s">
        <v>202</v>
      </c>
      <c r="C51" s="13" t="s">
        <v>49</v>
      </c>
      <c r="D51" s="74" t="s">
        <v>197</v>
      </c>
      <c r="E51" s="13" t="s">
        <v>42</v>
      </c>
      <c r="F51" s="37" t="s">
        <v>142</v>
      </c>
      <c r="G51" s="16">
        <v>0.0</v>
      </c>
      <c r="H51" s="16">
        <f t="shared" si="65"/>
        <v>0</v>
      </c>
      <c r="I51" s="13" t="s">
        <v>175</v>
      </c>
      <c r="J51" s="71">
        <v>0.005</v>
      </c>
      <c r="K51" s="18" t="s">
        <v>212</v>
      </c>
      <c r="L51" s="19"/>
      <c r="M51" s="16">
        <f t="shared" ref="M51:V51" si="66">(M$1)*$J51</f>
        <v>5</v>
      </c>
      <c r="N51" s="16">
        <f t="shared" si="66"/>
        <v>10</v>
      </c>
      <c r="O51" s="16">
        <f t="shared" si="66"/>
        <v>15</v>
      </c>
      <c r="P51" s="16">
        <f t="shared" si="66"/>
        <v>20</v>
      </c>
      <c r="Q51" s="16">
        <f t="shared" si="66"/>
        <v>25</v>
      </c>
      <c r="R51" s="16">
        <f t="shared" si="66"/>
        <v>30</v>
      </c>
      <c r="S51" s="16">
        <f t="shared" si="66"/>
        <v>35</v>
      </c>
      <c r="T51" s="16">
        <f t="shared" si="66"/>
        <v>40</v>
      </c>
      <c r="U51" s="16">
        <f t="shared" si="66"/>
        <v>45</v>
      </c>
      <c r="V51" s="16">
        <f t="shared" si="66"/>
        <v>50</v>
      </c>
      <c r="W51" s="19"/>
      <c r="X51" s="16">
        <f>(($E$56*12))*J51</f>
        <v>1800</v>
      </c>
      <c r="Y51" s="16" t="s">
        <v>42</v>
      </c>
      <c r="Z51" s="16" t="s">
        <v>42</v>
      </c>
      <c r="AA51" s="16" t="s">
        <v>42</v>
      </c>
      <c r="AB51" s="16">
        <f>X51-H51</f>
        <v>1800</v>
      </c>
      <c r="AC51" s="16"/>
    </row>
    <row r="52" ht="32.25" customHeight="1">
      <c r="A52" s="10" t="s">
        <v>118</v>
      </c>
      <c r="B52" s="33" t="s">
        <v>213</v>
      </c>
      <c r="C52" s="13" t="s">
        <v>55</v>
      </c>
      <c r="D52" s="13" t="s">
        <v>165</v>
      </c>
      <c r="E52" s="13" t="s">
        <v>214</v>
      </c>
      <c r="F52" s="37" t="s">
        <v>142</v>
      </c>
      <c r="G52" s="16">
        <v>0.0</v>
      </c>
      <c r="H52" s="16">
        <f t="shared" si="65"/>
        <v>0</v>
      </c>
      <c r="I52" s="13" t="s">
        <v>130</v>
      </c>
      <c r="J52" s="66">
        <v>0.05</v>
      </c>
      <c r="K52" s="16"/>
      <c r="L52" s="19"/>
      <c r="M52" s="20">
        <f t="shared" ref="M52:V52" si="67">M$1*$J52</f>
        <v>50</v>
      </c>
      <c r="N52" s="20">
        <f t="shared" si="67"/>
        <v>100</v>
      </c>
      <c r="O52" s="20">
        <f t="shared" si="67"/>
        <v>150</v>
      </c>
      <c r="P52" s="20">
        <f t="shared" si="67"/>
        <v>200</v>
      </c>
      <c r="Q52" s="20">
        <f t="shared" si="67"/>
        <v>250</v>
      </c>
      <c r="R52" s="20">
        <f t="shared" si="67"/>
        <v>300</v>
      </c>
      <c r="S52" s="20">
        <f t="shared" si="67"/>
        <v>350</v>
      </c>
      <c r="T52" s="20">
        <f t="shared" si="67"/>
        <v>400</v>
      </c>
      <c r="U52" s="20">
        <f t="shared" si="67"/>
        <v>450</v>
      </c>
      <c r="V52" s="20">
        <f t="shared" si="67"/>
        <v>500</v>
      </c>
      <c r="W52" s="19"/>
      <c r="X52" s="20">
        <f>$E$56*12*J52</f>
        <v>18000</v>
      </c>
      <c r="Y52" s="21" t="s">
        <v>70</v>
      </c>
      <c r="Z52" s="21">
        <f>X52/1000</f>
        <v>18</v>
      </c>
      <c r="AA52" s="16">
        <f>Z52*$E$60</f>
        <v>630</v>
      </c>
      <c r="AB52" s="16">
        <f t="shared" ref="AB52:AB53" si="69">AA52-H52-AC52</f>
        <v>630</v>
      </c>
      <c r="AC52" s="16"/>
    </row>
    <row r="53" ht="32.25" customHeight="1">
      <c r="A53" s="79" t="s">
        <v>215</v>
      </c>
      <c r="B53" s="33" t="s">
        <v>72</v>
      </c>
      <c r="C53" s="13" t="s">
        <v>49</v>
      </c>
      <c r="D53" s="13" t="s">
        <v>216</v>
      </c>
      <c r="E53" s="13" t="s">
        <v>42</v>
      </c>
      <c r="F53" s="37" t="s">
        <v>142</v>
      </c>
      <c r="G53" s="16">
        <v>0.0</v>
      </c>
      <c r="H53" s="16">
        <f t="shared" si="65"/>
        <v>0</v>
      </c>
      <c r="I53" s="13" t="s">
        <v>130</v>
      </c>
      <c r="J53" s="80" t="s">
        <v>217</v>
      </c>
      <c r="K53" s="18" t="s">
        <v>218</v>
      </c>
      <c r="L53" s="19"/>
      <c r="M53" s="20">
        <f t="shared" ref="M53:V53" si="68">M$1/3</f>
        <v>333.3333333</v>
      </c>
      <c r="N53" s="20">
        <f t="shared" si="68"/>
        <v>666.6666667</v>
      </c>
      <c r="O53" s="20">
        <f t="shared" si="68"/>
        <v>1000</v>
      </c>
      <c r="P53" s="20">
        <f t="shared" si="68"/>
        <v>1333.333333</v>
      </c>
      <c r="Q53" s="20">
        <f t="shared" si="68"/>
        <v>1666.666667</v>
      </c>
      <c r="R53" s="20">
        <f t="shared" si="68"/>
        <v>2000</v>
      </c>
      <c r="S53" s="20">
        <f t="shared" si="68"/>
        <v>2333.333333</v>
      </c>
      <c r="T53" s="20">
        <f t="shared" si="68"/>
        <v>2666.666667</v>
      </c>
      <c r="U53" s="20">
        <f t="shared" si="68"/>
        <v>3000</v>
      </c>
      <c r="V53" s="20">
        <f t="shared" si="68"/>
        <v>3333.333333</v>
      </c>
      <c r="W53" s="19"/>
      <c r="X53" s="20">
        <f>($E$56*12)/3</f>
        <v>120000</v>
      </c>
      <c r="Y53" s="21" t="s">
        <v>64</v>
      </c>
      <c r="Z53" s="21">
        <f>((X53+(X53*$F$58))/1000)</f>
        <v>156</v>
      </c>
      <c r="AA53" s="65">
        <f>Z53*$E$58</f>
        <v>4020.12</v>
      </c>
      <c r="AB53" s="16">
        <f t="shared" si="69"/>
        <v>-1384.78</v>
      </c>
      <c r="AC53" s="16">
        <f>($E$56*12)*1.5%+4.9</f>
        <v>5404.9</v>
      </c>
    </row>
    <row r="54">
      <c r="A54" s="81"/>
      <c r="B54" s="6"/>
      <c r="C54" s="6"/>
      <c r="D54" s="82"/>
      <c r="E54" s="82"/>
      <c r="F54" s="83"/>
      <c r="G54" s="83"/>
      <c r="H54" s="83"/>
      <c r="I54" s="6"/>
      <c r="J54" s="6"/>
      <c r="K54" s="6"/>
      <c r="L54" s="6"/>
      <c r="M54" s="6"/>
      <c r="N54" s="6"/>
      <c r="O54" s="6"/>
      <c r="P54" s="6"/>
      <c r="Q54" s="6"/>
      <c r="R54" s="6"/>
      <c r="S54" s="6"/>
      <c r="T54" s="6"/>
      <c r="U54" s="6"/>
      <c r="V54" s="6"/>
      <c r="W54" s="6"/>
      <c r="X54" s="6"/>
      <c r="Y54" s="6"/>
      <c r="Z54" s="6"/>
      <c r="AA54" s="6"/>
      <c r="AB54" s="6"/>
      <c r="AC54" s="6"/>
    </row>
    <row r="55">
      <c r="A55" s="81"/>
      <c r="B55" s="6"/>
      <c r="C55" s="84"/>
      <c r="D55" s="85" t="s">
        <v>44</v>
      </c>
      <c r="E55" s="86">
        <f>IFERROR(__xludf.DUMMYFUNCTION("GOOGLEFINANCE(""CURRENCY:USDBRL"")"),5.2267)</f>
        <v>5.2267</v>
      </c>
      <c r="F55" s="84"/>
      <c r="G55" s="84"/>
      <c r="H55" s="84"/>
      <c r="I55" s="84"/>
      <c r="J55" s="84"/>
      <c r="K55" s="6"/>
      <c r="L55" s="6"/>
      <c r="M55" s="19"/>
      <c r="N55" s="19"/>
      <c r="O55" s="19"/>
      <c r="P55" s="19"/>
      <c r="Q55" s="19"/>
      <c r="R55" s="19"/>
      <c r="S55" s="19"/>
      <c r="T55" s="19"/>
      <c r="U55" s="19"/>
      <c r="V55" s="19"/>
      <c r="W55" s="6"/>
      <c r="X55" s="6"/>
      <c r="Y55" s="6"/>
      <c r="Z55" s="6"/>
      <c r="AA55" s="6"/>
      <c r="AB55" s="6"/>
      <c r="AC55" s="6"/>
    </row>
    <row r="56">
      <c r="A56" s="81"/>
      <c r="B56" s="19"/>
      <c r="C56" s="87" t="s">
        <v>219</v>
      </c>
      <c r="E56" s="88">
        <v>30000.0</v>
      </c>
      <c r="F56" s="84"/>
      <c r="G56" s="84"/>
      <c r="H56" s="84"/>
      <c r="I56" s="84"/>
      <c r="J56" s="84"/>
      <c r="K56" s="84"/>
      <c r="L56" s="84"/>
      <c r="M56" s="84"/>
      <c r="N56" s="84"/>
      <c r="O56" s="84"/>
      <c r="P56" s="84"/>
      <c r="Q56" s="84"/>
      <c r="R56" s="84"/>
      <c r="S56" s="84"/>
      <c r="T56" s="84"/>
      <c r="U56" s="84"/>
      <c r="V56" s="84"/>
      <c r="W56" s="84"/>
      <c r="X56" s="19"/>
      <c r="Y56" s="19"/>
      <c r="Z56" s="19"/>
      <c r="AA56" s="19"/>
      <c r="AB56" s="19"/>
      <c r="AC56" s="19"/>
    </row>
    <row r="57">
      <c r="A57" s="81"/>
      <c r="B57" s="19"/>
      <c r="C57" s="87" t="s">
        <v>220</v>
      </c>
      <c r="E57" s="89">
        <v>14.63</v>
      </c>
      <c r="F57" s="90">
        <v>0.8</v>
      </c>
      <c r="G57" s="91" t="s">
        <v>221</v>
      </c>
      <c r="H57" s="92"/>
      <c r="I57" s="92"/>
      <c r="J57" s="92"/>
      <c r="K57" s="92"/>
      <c r="L57" s="84"/>
      <c r="M57" s="84"/>
      <c r="N57" s="84"/>
      <c r="O57" s="84"/>
      <c r="P57" s="84"/>
      <c r="Q57" s="84"/>
      <c r="R57" s="84"/>
      <c r="S57" s="84"/>
      <c r="T57" s="84"/>
      <c r="U57" s="84"/>
      <c r="V57" s="84"/>
      <c r="W57" s="84"/>
      <c r="X57" s="19"/>
      <c r="Y57" s="19"/>
      <c r="Z57" s="19"/>
      <c r="AA57" s="19"/>
      <c r="AB57" s="19"/>
      <c r="AC57" s="19"/>
    </row>
    <row r="58">
      <c r="A58" s="81"/>
      <c r="B58" s="87" t="s">
        <v>222</v>
      </c>
      <c r="E58" s="93">
        <v>25.77</v>
      </c>
      <c r="F58" s="94">
        <v>0.3</v>
      </c>
      <c r="G58" s="95"/>
      <c r="H58" s="95"/>
      <c r="I58" s="95"/>
      <c r="J58" s="95"/>
      <c r="K58" s="95"/>
      <c r="L58" s="84"/>
      <c r="M58" s="84"/>
      <c r="N58" s="84"/>
      <c r="O58" s="84"/>
      <c r="P58" s="84"/>
      <c r="Q58" s="84"/>
      <c r="R58" s="84"/>
      <c r="S58" s="84"/>
      <c r="T58" s="84"/>
      <c r="U58" s="84"/>
      <c r="V58" s="84"/>
      <c r="W58" s="84"/>
      <c r="X58" s="19"/>
      <c r="Y58" s="19"/>
      <c r="Z58" s="19"/>
      <c r="AA58" s="19"/>
      <c r="AB58" s="19"/>
      <c r="AC58" s="19"/>
    </row>
    <row r="59">
      <c r="A59" s="81"/>
      <c r="B59" s="87" t="s">
        <v>223</v>
      </c>
      <c r="E59" s="96">
        <v>13.98</v>
      </c>
      <c r="F59" s="97"/>
      <c r="G59" s="98" t="s">
        <v>224</v>
      </c>
      <c r="H59" s="97"/>
      <c r="I59" s="97"/>
      <c r="J59" s="97"/>
      <c r="K59" s="97"/>
      <c r="L59" s="84"/>
      <c r="M59" s="84"/>
      <c r="N59" s="84"/>
      <c r="O59" s="84"/>
      <c r="P59" s="84"/>
      <c r="Q59" s="84"/>
      <c r="R59" s="84"/>
      <c r="S59" s="84"/>
      <c r="T59" s="84"/>
      <c r="U59" s="84"/>
      <c r="V59" s="84"/>
      <c r="W59" s="84"/>
      <c r="X59" s="19"/>
      <c r="Y59" s="19"/>
      <c r="Z59" s="19"/>
      <c r="AA59" s="19"/>
      <c r="AB59" s="19"/>
      <c r="AC59" s="19"/>
    </row>
    <row r="60">
      <c r="A60" s="81"/>
      <c r="B60" s="87" t="s">
        <v>225</v>
      </c>
      <c r="E60" s="99">
        <v>35.0</v>
      </c>
      <c r="F60" s="97"/>
      <c r="L60" s="84"/>
      <c r="M60" s="84"/>
      <c r="N60" s="84"/>
      <c r="O60" s="84"/>
      <c r="P60" s="84"/>
      <c r="Q60" s="84"/>
      <c r="R60" s="84"/>
      <c r="S60" s="84"/>
      <c r="T60" s="84"/>
      <c r="U60" s="84"/>
      <c r="V60" s="84"/>
      <c r="W60" s="84"/>
      <c r="X60" s="19"/>
      <c r="Y60" s="19"/>
      <c r="Z60" s="19"/>
      <c r="AA60" s="19"/>
      <c r="AB60" s="19"/>
      <c r="AC60" s="19"/>
    </row>
    <row r="61">
      <c r="A61" s="81"/>
      <c r="B61" s="87" t="s">
        <v>226</v>
      </c>
      <c r="E61" s="100">
        <v>100.0</v>
      </c>
      <c r="F61" s="97"/>
      <c r="G61" s="97"/>
      <c r="H61" s="97"/>
      <c r="I61" s="97"/>
      <c r="J61" s="97"/>
      <c r="K61" s="97"/>
      <c r="L61" s="84"/>
      <c r="M61" s="84"/>
      <c r="N61" s="84"/>
      <c r="O61" s="84"/>
      <c r="P61" s="84"/>
      <c r="Q61" s="84"/>
      <c r="R61" s="84"/>
      <c r="S61" s="84"/>
      <c r="T61" s="84"/>
      <c r="U61" s="84"/>
      <c r="V61" s="84"/>
      <c r="W61" s="84"/>
      <c r="X61" s="19"/>
      <c r="Y61" s="19"/>
      <c r="Z61" s="19"/>
      <c r="AA61" s="19"/>
      <c r="AB61" s="19"/>
      <c r="AC61" s="19"/>
    </row>
    <row r="62">
      <c r="A62" s="81"/>
      <c r="B62" s="87"/>
      <c r="C62" s="87"/>
      <c r="D62" s="87" t="s">
        <v>227</v>
      </c>
      <c r="E62" s="101">
        <v>59.42</v>
      </c>
      <c r="F62" s="102">
        <v>0.25</v>
      </c>
      <c r="G62" s="97"/>
      <c r="H62" s="97"/>
      <c r="I62" s="97"/>
      <c r="J62" s="97"/>
      <c r="K62" s="97"/>
      <c r="L62" s="84"/>
      <c r="M62" s="84"/>
      <c r="N62" s="84"/>
      <c r="O62" s="84"/>
      <c r="P62" s="84"/>
      <c r="Q62" s="84"/>
      <c r="R62" s="84"/>
      <c r="S62" s="84"/>
      <c r="T62" s="84"/>
      <c r="U62" s="84"/>
      <c r="V62" s="84"/>
      <c r="W62" s="84"/>
      <c r="X62" s="19"/>
      <c r="Y62" s="19"/>
      <c r="Z62" s="19"/>
      <c r="AA62" s="19"/>
      <c r="AB62" s="19"/>
      <c r="AC62" s="19"/>
    </row>
  </sheetData>
  <autoFilter ref="$A$1:$AC$53">
    <sortState ref="A1:AC53">
      <sortCondition descending="1" ref="AB1:AB53"/>
      <sortCondition descending="1" ref="X1:X53"/>
      <sortCondition ref="I1:I53"/>
      <sortCondition ref="A1:A53"/>
      <sortCondition ref="B1:B53"/>
      <sortCondition descending="1" ref="N1:N53"/>
    </sortState>
  </autoFilter>
  <mergeCells count="7">
    <mergeCell ref="C56:D56"/>
    <mergeCell ref="C57:D57"/>
    <mergeCell ref="B58:D58"/>
    <mergeCell ref="B59:D59"/>
    <mergeCell ref="B60:D60"/>
    <mergeCell ref="F60:K60"/>
    <mergeCell ref="B61:D61"/>
  </mergeCells>
  <hyperlinks>
    <hyperlink r:id="rId2" ref="J2"/>
    <hyperlink r:id="rId3" ref="B3"/>
    <hyperlink r:id="rId4" ref="J3"/>
    <hyperlink r:id="rId5" ref="B4"/>
    <hyperlink r:id="rId6" ref="J4"/>
    <hyperlink r:id="rId7" ref="K4"/>
    <hyperlink r:id="rId8" ref="B5"/>
    <hyperlink r:id="rId9" ref="J5"/>
    <hyperlink r:id="rId10" ref="B6"/>
    <hyperlink r:id="rId11" ref="J6"/>
    <hyperlink r:id="rId12" ref="B7"/>
    <hyperlink r:id="rId13" location="/" ref="K7"/>
    <hyperlink r:id="rId14" ref="J8"/>
    <hyperlink r:id="rId15" ref="B9"/>
    <hyperlink r:id="rId16" ref="J9"/>
    <hyperlink r:id="rId17" ref="B10"/>
    <hyperlink r:id="rId18" ref="B11"/>
    <hyperlink r:id="rId19" ref="B12"/>
    <hyperlink r:id="rId20" ref="J12"/>
    <hyperlink r:id="rId21" ref="B13"/>
    <hyperlink r:id="rId22" ref="J13"/>
    <hyperlink r:id="rId23" ref="J15"/>
    <hyperlink r:id="rId24" ref="B16"/>
    <hyperlink r:id="rId25" ref="J16"/>
    <hyperlink r:id="rId26" ref="B17"/>
    <hyperlink r:id="rId27" ref="J17"/>
    <hyperlink r:id="rId28" ref="J18"/>
    <hyperlink r:id="rId29" ref="B19"/>
    <hyperlink r:id="rId30" ref="J19"/>
    <hyperlink r:id="rId31" ref="B20"/>
    <hyperlink r:id="rId32" ref="J20"/>
    <hyperlink r:id="rId33" ref="B21"/>
    <hyperlink r:id="rId34" ref="J21"/>
    <hyperlink r:id="rId35" ref="B22"/>
    <hyperlink r:id="rId36" ref="J22"/>
    <hyperlink r:id="rId37" ref="B23"/>
    <hyperlink r:id="rId38" ref="J23"/>
    <hyperlink r:id="rId39" ref="B24"/>
    <hyperlink r:id="rId40" ref="B25"/>
    <hyperlink r:id="rId41" ref="J25"/>
    <hyperlink r:id="rId42" ref="B26"/>
    <hyperlink r:id="rId43" ref="J26"/>
    <hyperlink r:id="rId44" ref="K26"/>
    <hyperlink r:id="rId45" ref="K27"/>
    <hyperlink r:id="rId46" ref="J28"/>
    <hyperlink r:id="rId47" ref="K28"/>
    <hyperlink r:id="rId48" ref="J29"/>
    <hyperlink r:id="rId49" ref="B30"/>
    <hyperlink r:id="rId50" ref="J30"/>
    <hyperlink r:id="rId51" ref="K31"/>
    <hyperlink r:id="rId52" ref="B32"/>
    <hyperlink r:id="rId53" ref="J32"/>
    <hyperlink r:id="rId54" ref="J33"/>
    <hyperlink r:id="rId55" ref="K33"/>
    <hyperlink r:id="rId56" ref="J34"/>
    <hyperlink r:id="rId57" ref="B35"/>
    <hyperlink r:id="rId58" ref="B36"/>
    <hyperlink r:id="rId59" ref="J36"/>
    <hyperlink r:id="rId60" ref="J37"/>
    <hyperlink r:id="rId61" ref="J38"/>
    <hyperlink r:id="rId62" ref="K38"/>
    <hyperlink r:id="rId63" ref="J39"/>
    <hyperlink r:id="rId64" ref="K39"/>
    <hyperlink r:id="rId65" ref="B40"/>
    <hyperlink r:id="rId66" ref="J40"/>
    <hyperlink r:id="rId67" ref="B41"/>
    <hyperlink r:id="rId68" ref="J41"/>
    <hyperlink r:id="rId69" ref="K41"/>
    <hyperlink r:id="rId70" ref="B42"/>
    <hyperlink r:id="rId71" ref="B43"/>
    <hyperlink r:id="rId72" ref="J43"/>
    <hyperlink r:id="rId73" ref="B44"/>
    <hyperlink r:id="rId74" ref="J44"/>
    <hyperlink r:id="rId75" ref="J45"/>
    <hyperlink r:id="rId76" ref="J46"/>
    <hyperlink r:id="rId77" ref="B47"/>
    <hyperlink r:id="rId78" ref="B48"/>
    <hyperlink r:id="rId79" ref="J48"/>
    <hyperlink r:id="rId80" ref="B49"/>
    <hyperlink r:id="rId81" ref="J49"/>
    <hyperlink r:id="rId82" ref="B50"/>
    <hyperlink r:id="rId83" ref="J50"/>
    <hyperlink r:id="rId84" ref="B51"/>
    <hyperlink r:id="rId85" ref="J51"/>
    <hyperlink r:id="rId86" ref="B52"/>
    <hyperlink r:id="rId87" ref="B53"/>
    <hyperlink r:id="rId88" ref="J53"/>
    <hyperlink r:id="rId89" ref="G57"/>
    <hyperlink r:id="rId90" ref="G59"/>
  </hyperlinks>
  <printOptions gridLines="1" horizontalCentered="1"/>
  <pageMargins bottom="0.75" footer="0.0" header="0.0" left="0.7" right="0.7" top="0.75"/>
  <pageSetup fitToHeight="0" paperSize="9" cellComments="atEnd" orientation="landscape" pageOrder="overThenDown"/>
  <drawing r:id="rId91"/>
  <legacyDrawing r:id="rId9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38"/>
    <col customWidth="1" min="3" max="3" width="58.25"/>
    <col customWidth="1" min="4" max="4" width="48.13"/>
  </cols>
  <sheetData>
    <row r="1">
      <c r="A1" s="1" t="s">
        <v>0</v>
      </c>
      <c r="B1" s="1" t="s">
        <v>2</v>
      </c>
      <c r="C1" s="1" t="s">
        <v>3</v>
      </c>
      <c r="D1" s="1" t="s">
        <v>4</v>
      </c>
    </row>
    <row r="2">
      <c r="A2" s="3" t="s">
        <v>5</v>
      </c>
      <c r="B2" s="1" t="s">
        <v>6</v>
      </c>
      <c r="C2" s="1" t="s">
        <v>7</v>
      </c>
      <c r="D2" s="1" t="s">
        <v>8</v>
      </c>
    </row>
    <row r="3">
      <c r="A3" s="3" t="s">
        <v>5</v>
      </c>
      <c r="B3" s="1" t="s">
        <v>10</v>
      </c>
      <c r="C3" s="1" t="s">
        <v>11</v>
      </c>
      <c r="D3" s="1" t="s">
        <v>8</v>
      </c>
    </row>
    <row r="4">
      <c r="A4" s="3" t="s">
        <v>5</v>
      </c>
      <c r="B4" s="1" t="s">
        <v>13</v>
      </c>
      <c r="C4" s="1" t="s">
        <v>15</v>
      </c>
      <c r="D4" s="1" t="s">
        <v>8</v>
      </c>
    </row>
    <row r="5">
      <c r="A5" s="3" t="s">
        <v>5</v>
      </c>
      <c r="B5" s="3" t="s">
        <v>16</v>
      </c>
      <c r="C5" s="1" t="s">
        <v>18</v>
      </c>
      <c r="D5" s="1" t="s">
        <v>8</v>
      </c>
    </row>
    <row r="6">
      <c r="A6" s="3" t="s">
        <v>5</v>
      </c>
      <c r="B6" s="3" t="s">
        <v>19</v>
      </c>
      <c r="C6" s="1" t="s">
        <v>20</v>
      </c>
      <c r="D6" s="1" t="s">
        <v>8</v>
      </c>
    </row>
    <row r="7">
      <c r="A7" s="3" t="s">
        <v>22</v>
      </c>
      <c r="B7" s="3" t="s">
        <v>23</v>
      </c>
      <c r="C7" s="1" t="s">
        <v>24</v>
      </c>
      <c r="D7" s="1" t="s">
        <v>8</v>
      </c>
    </row>
    <row r="8">
      <c r="A8" s="3" t="s">
        <v>22</v>
      </c>
      <c r="B8" s="3" t="s">
        <v>19</v>
      </c>
      <c r="C8" s="1" t="s">
        <v>26</v>
      </c>
      <c r="D8" s="1" t="s">
        <v>8</v>
      </c>
    </row>
    <row r="9">
      <c r="A9" s="3" t="s">
        <v>22</v>
      </c>
      <c r="B9" s="3" t="s">
        <v>19</v>
      </c>
      <c r="C9" s="1" t="s">
        <v>29</v>
      </c>
      <c r="D9" s="1" t="s">
        <v>8</v>
      </c>
    </row>
  </sheetData>
  <drawing r:id="rId1"/>
</worksheet>
</file>